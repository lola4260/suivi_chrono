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grouperenault-my.sharepoint.com/personal/lola_gauducheau_renault_com/Documents/Documents/suivi_chrono/assets/excel/"/>
    </mc:Choice>
  </mc:AlternateContent>
  <xr:revisionPtr revIDLastSave="142" documentId="8_{F52C1A9A-D12F-48B6-B6D3-92EE9EABD670}" xr6:coauthVersionLast="47" xr6:coauthVersionMax="47" xr10:uidLastSave="{F7B8F248-497F-4ECF-B556-2A9B8D6B378E}"/>
  <bookViews>
    <workbookView xWindow="-110" yWindow="-110" windowWidth="19420" windowHeight="11500" xr2:uid="{00000000-000D-0000-FFFF-FFFF00000000}"/>
  </bookViews>
  <sheets>
    <sheet name="Raw" sheetId="4" r:id="rId1"/>
    <sheet name="Stats" sheetId="7" r:id="rId2"/>
    <sheet name="Résumé" sheetId="5" r:id="rId3"/>
    <sheet name="Chronologie_Extended" sheetId="3" r:id="rId4"/>
    <sheet name="Data" sheetId="1" r:id="rId5"/>
    <sheet name="Dashboard" sheetId="2" r:id="rId6"/>
  </sheets>
  <externalReferences>
    <externalReference r:id="rId7"/>
  </externalReferences>
  <definedNames>
    <definedName name="ACTIVITY_BREAKDOWN">Data!A1:D1000</definedName>
    <definedName name="BAR_AVG">Data!A1:B1000</definedName>
    <definedName name="GAUSS_POINTS">Data!A1:C5000</definedName>
    <definedName name="TIMELINE">Data!A1:D5000</definedName>
    <definedName name="VA_NVA_DATA">Data!A1:C100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F2" i="7" a="1"/>
  <c r="F2" i="7" s="1"/>
  <c r="F3" i="7" a="1"/>
  <c r="F3" i="7" s="1"/>
  <c r="F4" i="7" a="1"/>
  <c r="F4" i="7" s="1"/>
  <c r="F5" i="7" a="1"/>
  <c r="F5" i="7" s="1"/>
  <c r="F6" i="7" a="1"/>
  <c r="F6" i="7" s="1"/>
  <c r="F7" i="7" a="1"/>
  <c r="F7" i="7" s="1"/>
  <c r="F8" i="7" a="1"/>
  <c r="F8" i="7" s="1"/>
  <c r="F9" i="7" a="1"/>
  <c r="F9" i="7" s="1"/>
  <c r="F10" i="7" a="1"/>
  <c r="F10" i="7" s="1"/>
  <c r="F11" i="7" a="1"/>
  <c r="F11" i="7" s="1"/>
  <c r="F12" i="7" a="1"/>
  <c r="F12" i="7" s="1"/>
  <c r="F13" i="7" a="1"/>
  <c r="F13" i="7" s="1"/>
  <c r="F14" i="7" a="1"/>
  <c r="F14" i="7" s="1"/>
  <c r="F15" i="7" a="1"/>
  <c r="F15" i="7" s="1"/>
  <c r="F16" i="7" a="1"/>
  <c r="F16" i="7" s="1"/>
  <c r="F17" i="7" a="1"/>
  <c r="F17" i="7" s="1"/>
  <c r="F18" i="7" a="1"/>
  <c r="F18" i="7" s="1"/>
  <c r="F19" i="7" a="1"/>
  <c r="F19" i="7" s="1"/>
  <c r="F20" i="7" a="1"/>
  <c r="F20" i="7" s="1"/>
  <c r="F21" i="7" a="1"/>
  <c r="F21" i="7" s="1"/>
  <c r="F22" i="7" a="1"/>
  <c r="F22" i="7" s="1"/>
  <c r="F23" i="7" a="1"/>
  <c r="F23" i="7" s="1"/>
  <c r="F24" i="7" a="1"/>
  <c r="F24" i="7" s="1"/>
  <c r="F25" i="7" a="1"/>
  <c r="F25" i="7" s="1"/>
  <c r="F26" i="7" a="1"/>
  <c r="F26" i="7" s="1"/>
  <c r="F27" i="7" a="1"/>
  <c r="F27" i="7" s="1"/>
  <c r="F28" i="7" a="1"/>
  <c r="F28" i="7" s="1"/>
  <c r="F29" i="7" a="1"/>
  <c r="F29" i="7" s="1"/>
  <c r="F30" i="7" a="1"/>
  <c r="F30" i="7" s="1"/>
  <c r="F31" i="7" a="1"/>
  <c r="F31" i="7" s="1"/>
  <c r="F32" i="7" a="1"/>
  <c r="F32" i="7" s="1"/>
  <c r="F33" i="7" a="1"/>
  <c r="F33" i="7" s="1"/>
  <c r="F34" i="7" a="1"/>
  <c r="F34" i="7" s="1"/>
  <c r="F35" i="7" a="1"/>
  <c r="F35" i="7" s="1"/>
  <c r="F36" i="7" a="1"/>
  <c r="F36" i="7" s="1"/>
  <c r="F37" i="7" a="1"/>
  <c r="F37" i="7" s="1"/>
  <c r="F38" i="7" a="1"/>
  <c r="F38" i="7" s="1"/>
  <c r="F39" i="7" a="1"/>
  <c r="F39" i="7" s="1"/>
  <c r="F40" i="7" a="1"/>
  <c r="F40" i="7" s="1"/>
  <c r="F41" i="7" a="1"/>
  <c r="F41" i="7" s="1"/>
  <c r="F42" i="7" a="1"/>
  <c r="F42" i="7" s="1"/>
  <c r="F43" i="7" a="1"/>
  <c r="F43" i="7" s="1"/>
  <c r="F44" i="7" a="1"/>
  <c r="F44" i="7" s="1"/>
  <c r="F45" i="7" a="1"/>
  <c r="F45" i="7" s="1"/>
  <c r="F46" i="7" a="1"/>
  <c r="F46" i="7" s="1"/>
  <c r="F47" i="7" a="1"/>
  <c r="F47" i="7" s="1"/>
  <c r="F48" i="7" a="1"/>
  <c r="F48" i="7" s="1"/>
  <c r="F49" i="7" a="1"/>
  <c r="F49" i="7" s="1"/>
  <c r="F50" i="7" a="1"/>
  <c r="F50" i="7" s="1"/>
  <c r="F51" i="7" a="1"/>
  <c r="F51" i="7" s="1"/>
  <c r="F52" i="7" a="1"/>
  <c r="F52" i="7" s="1"/>
  <c r="F53" i="7" a="1"/>
  <c r="F53" i="7" s="1"/>
  <c r="F54" i="7" a="1"/>
  <c r="F54" i="7" s="1"/>
  <c r="F55" i="7" a="1"/>
  <c r="F55" i="7" s="1"/>
  <c r="F56" i="7" a="1"/>
  <c r="F56" i="7" s="1"/>
  <c r="F57" i="7" a="1"/>
  <c r="F57" i="7" s="1"/>
  <c r="F58" i="7" a="1"/>
  <c r="F58" i="7" s="1"/>
  <c r="F59" i="7" a="1"/>
  <c r="F59" i="7" s="1"/>
  <c r="F60" i="7" a="1"/>
  <c r="F60" i="7" s="1"/>
  <c r="F61" i="7" a="1"/>
  <c r="F61" i="7" s="1"/>
  <c r="F62" i="7" a="1"/>
  <c r="F62" i="7" s="1"/>
  <c r="F63" i="7" a="1"/>
  <c r="F63" i="7" s="1"/>
  <c r="F64" i="7" a="1"/>
  <c r="F64" i="7" s="1"/>
  <c r="F65" i="7" a="1"/>
  <c r="F65" i="7" s="1"/>
  <c r="F66" i="7" a="1"/>
  <c r="F66" i="7" s="1"/>
  <c r="F67" i="7" a="1"/>
  <c r="F67" i="7" s="1"/>
  <c r="F68" i="7" a="1"/>
  <c r="F68" i="7" s="1"/>
  <c r="F69" i="7" a="1"/>
  <c r="F69" i="7" s="1"/>
  <c r="F70" i="7" a="1"/>
  <c r="F70" i="7" s="1"/>
  <c r="F71" i="7" a="1"/>
  <c r="F71" i="7" s="1"/>
  <c r="F72" i="7" a="1"/>
  <c r="F72" i="7" s="1"/>
  <c r="F73" i="7" a="1"/>
  <c r="F73" i="7" s="1"/>
  <c r="F74" i="7" a="1"/>
  <c r="F74" i="7" s="1"/>
  <c r="F75" i="7" a="1"/>
  <c r="F75" i="7" s="1"/>
  <c r="F76" i="7" a="1"/>
  <c r="F76" i="7" s="1"/>
  <c r="F77" i="7" a="1"/>
  <c r="F77" i="7" s="1"/>
  <c r="F78" i="7" a="1"/>
  <c r="F78" i="7" s="1"/>
  <c r="F79" i="7" a="1"/>
  <c r="F79" i="7" s="1"/>
  <c r="F80" i="7" a="1"/>
  <c r="F80" i="7" s="1"/>
  <c r="F81" i="7" a="1"/>
  <c r="F81" i="7" s="1"/>
  <c r="F82" i="7" a="1"/>
  <c r="F82" i="7" s="1"/>
  <c r="F83" i="7" a="1"/>
  <c r="F83" i="7" s="1"/>
  <c r="F84" i="7" a="1"/>
  <c r="F84" i="7" s="1"/>
  <c r="F85" i="7" a="1"/>
  <c r="F85" i="7" s="1"/>
  <c r="F86" i="7" a="1"/>
  <c r="F86" i="7" s="1"/>
  <c r="F87" i="7" a="1"/>
  <c r="F87" i="7" s="1"/>
  <c r="F88" i="7" a="1"/>
  <c r="F88" i="7" s="1"/>
  <c r="F89" i="7" a="1"/>
  <c r="F89" i="7" s="1"/>
  <c r="F90" i="7" a="1"/>
  <c r="F90" i="7" s="1"/>
  <c r="F91" i="7" a="1"/>
  <c r="F91" i="7" s="1"/>
  <c r="F92" i="7" a="1"/>
  <c r="F92" i="7" s="1"/>
  <c r="F93" i="7" a="1"/>
  <c r="F93" i="7" s="1"/>
  <c r="F94" i="7" a="1"/>
  <c r="F94" i="7" s="1"/>
  <c r="F95" i="7" a="1"/>
  <c r="F95" i="7" s="1"/>
  <c r="F96" i="7" a="1"/>
  <c r="F96" i="7" s="1"/>
  <c r="F97" i="7" a="1"/>
  <c r="F97" i="7" s="1"/>
  <c r="F98" i="7" a="1"/>
  <c r="F98" i="7" s="1"/>
  <c r="F99" i="7" a="1"/>
  <c r="F99" i="7" s="1"/>
  <c r="F100" i="7" a="1"/>
  <c r="F100" i="7" s="1"/>
  <c r="F101" i="7" a="1"/>
  <c r="F101" i="7" s="1"/>
  <c r="F102" i="7" a="1"/>
  <c r="F102" i="7" s="1"/>
  <c r="F103" i="7" a="1"/>
  <c r="F103" i="7" s="1"/>
  <c r="F104" i="7" a="1"/>
  <c r="F104" i="7" s="1"/>
  <c r="F105" i="7" a="1"/>
  <c r="F105" i="7" s="1"/>
  <c r="F106" i="7" a="1"/>
  <c r="F106" i="7" s="1"/>
  <c r="F107" i="7" a="1"/>
  <c r="F107" i="7" s="1"/>
  <c r="F108" i="7" a="1"/>
  <c r="F108" i="7" s="1"/>
  <c r="F109" i="7" a="1"/>
  <c r="F109" i="7" s="1"/>
  <c r="F110" i="7" a="1"/>
  <c r="F110" i="7" s="1"/>
  <c r="F111" i="7" a="1"/>
  <c r="F111" i="7" s="1"/>
  <c r="F112" i="7" a="1"/>
  <c r="F112" i="7" s="1"/>
  <c r="F113" i="7" a="1"/>
  <c r="F113" i="7" s="1"/>
  <c r="F114" i="7" a="1"/>
  <c r="F114" i="7" s="1"/>
  <c r="F115" i="7" a="1"/>
  <c r="F115" i="7" s="1"/>
  <c r="F116" i="7" a="1"/>
  <c r="F116" i="7" s="1"/>
  <c r="F117" i="7" a="1"/>
  <c r="F117" i="7" s="1"/>
  <c r="F118" i="7" a="1"/>
  <c r="F118" i="7" s="1"/>
  <c r="F119" i="7" a="1"/>
  <c r="F119" i="7" s="1"/>
  <c r="F120" i="7" a="1"/>
  <c r="F120" i="7" s="1"/>
  <c r="F121" i="7" a="1"/>
  <c r="F121" i="7" s="1"/>
  <c r="F122" i="7" a="1"/>
  <c r="F122" i="7" s="1"/>
  <c r="F123" i="7" a="1"/>
  <c r="F123" i="7" s="1"/>
  <c r="F124" i="7" a="1"/>
  <c r="F124" i="7" s="1"/>
  <c r="F125" i="7" a="1"/>
  <c r="F125" i="7" s="1"/>
  <c r="F126" i="7" a="1"/>
  <c r="F126" i="7" s="1"/>
  <c r="F127" i="7" a="1"/>
  <c r="F127" i="7" s="1"/>
  <c r="F128" i="7" a="1"/>
  <c r="F128" i="7" s="1"/>
  <c r="F129" i="7" a="1"/>
  <c r="F129" i="7" s="1"/>
  <c r="F130" i="7" a="1"/>
  <c r="F130" i="7" s="1"/>
  <c r="F131" i="7" a="1"/>
  <c r="F131" i="7" s="1"/>
  <c r="F132" i="7" a="1"/>
  <c r="F132" i="7" s="1"/>
  <c r="F133" i="7" a="1"/>
  <c r="F133" i="7" s="1"/>
  <c r="F134" i="7" a="1"/>
  <c r="F134" i="7" s="1"/>
  <c r="F135" i="7" a="1"/>
  <c r="F135" i="7" s="1"/>
  <c r="F136" i="7" a="1"/>
  <c r="F136" i="7" s="1"/>
  <c r="F137" i="7" a="1"/>
  <c r="F137" i="7" s="1"/>
  <c r="F138" i="7" a="1"/>
  <c r="F138" i="7" s="1"/>
  <c r="F139" i="7" a="1"/>
  <c r="F139" i="7" s="1"/>
  <c r="F140" i="7" a="1"/>
  <c r="F140" i="7" s="1"/>
  <c r="F141" i="7" a="1"/>
  <c r="F141" i="7" s="1"/>
  <c r="F142" i="7" a="1"/>
  <c r="F142" i="7" s="1"/>
  <c r="F143" i="7" a="1"/>
  <c r="F143" i="7" s="1"/>
  <c r="F144" i="7" a="1"/>
  <c r="F144" i="7" s="1"/>
  <c r="F145" i="7" a="1"/>
  <c r="F145" i="7" s="1"/>
  <c r="F146" i="7" a="1"/>
  <c r="F146" i="7" s="1"/>
  <c r="F147" i="7" a="1"/>
  <c r="F147" i="7" s="1"/>
  <c r="F148" i="7" a="1"/>
  <c r="F148" i="7" s="1"/>
  <c r="F149" i="7" a="1"/>
  <c r="F149" i="7" s="1"/>
  <c r="F150" i="7" a="1"/>
  <c r="F150" i="7" s="1"/>
  <c r="F151" i="7" a="1"/>
  <c r="F151" i="7" s="1"/>
  <c r="F152" i="7" a="1"/>
  <c r="F152" i="7" s="1"/>
  <c r="F153" i="7" a="1"/>
  <c r="F153" i="7" s="1"/>
  <c r="F154" i="7" a="1"/>
  <c r="F154" i="7" s="1"/>
  <c r="F155" i="7" a="1"/>
  <c r="F155" i="7" s="1"/>
  <c r="F156" i="7" a="1"/>
  <c r="F156" i="7" s="1"/>
  <c r="F157" i="7" a="1"/>
  <c r="F157" i="7" s="1"/>
  <c r="F158" i="7" a="1"/>
  <c r="F158" i="7" s="1"/>
  <c r="F159" i="7" a="1"/>
  <c r="F159" i="7" s="1"/>
  <c r="F160" i="7" a="1"/>
  <c r="F160" i="7" s="1"/>
  <c r="F161" i="7" a="1"/>
  <c r="F161" i="7" s="1"/>
  <c r="F162" i="7" a="1"/>
  <c r="F162" i="7" s="1"/>
  <c r="F163" i="7" a="1"/>
  <c r="F163" i="7" s="1"/>
  <c r="F164" i="7" a="1"/>
  <c r="F164" i="7" s="1"/>
  <c r="F165" i="7" a="1"/>
  <c r="F165" i="7" s="1"/>
  <c r="F166" i="7" a="1"/>
  <c r="F166" i="7" s="1"/>
  <c r="F167" i="7" a="1"/>
  <c r="F167" i="7" s="1"/>
  <c r="F168" i="7" a="1"/>
  <c r="F168" i="7" s="1"/>
  <c r="F169" i="7" a="1"/>
  <c r="F169" i="7" s="1"/>
  <c r="F170" i="7" a="1"/>
  <c r="F170" i="7" s="1"/>
  <c r="F171" i="7" a="1"/>
  <c r="F171" i="7" s="1"/>
  <c r="F172" i="7" a="1"/>
  <c r="F172" i="7" s="1"/>
  <c r="F173" i="7" a="1"/>
  <c r="F173" i="7" s="1"/>
  <c r="F174" i="7" a="1"/>
  <c r="F174" i="7" s="1"/>
  <c r="F175" i="7" a="1"/>
  <c r="F175" i="7" s="1"/>
  <c r="F176" i="7" a="1"/>
  <c r="F176" i="7" s="1"/>
  <c r="F177" i="7" a="1"/>
  <c r="F177" i="7" s="1"/>
  <c r="F178" i="7" a="1"/>
  <c r="F178" i="7" s="1"/>
  <c r="F179" i="7" a="1"/>
  <c r="F179" i="7" s="1"/>
  <c r="F180" i="7" a="1"/>
  <c r="F180" i="7" s="1"/>
  <c r="F181" i="7" a="1"/>
  <c r="F181" i="7" s="1"/>
  <c r="F182" i="7" a="1"/>
  <c r="F182" i="7" s="1"/>
  <c r="F183" i="7" a="1"/>
  <c r="F183" i="7" s="1"/>
  <c r="F184" i="7" a="1"/>
  <c r="F184" i="7" s="1"/>
  <c r="F185" i="7" a="1"/>
  <c r="F185" i="7" s="1"/>
  <c r="F186" i="7" a="1"/>
  <c r="F186" i="7" s="1"/>
  <c r="F187" i="7" a="1"/>
  <c r="F187" i="7" s="1"/>
  <c r="F188" i="7" a="1"/>
  <c r="F188" i="7" s="1"/>
  <c r="F189" i="7" a="1"/>
  <c r="F189" i="7" s="1"/>
  <c r="F190" i="7" a="1"/>
  <c r="F190" i="7" s="1"/>
  <c r="F191" i="7" a="1"/>
  <c r="F191" i="7" s="1"/>
  <c r="F192" i="7" a="1"/>
  <c r="F192" i="7" s="1"/>
  <c r="F193" i="7" a="1"/>
  <c r="F193" i="7" s="1"/>
  <c r="F194" i="7" a="1"/>
  <c r="F194" i="7" s="1"/>
  <c r="F195" i="7" a="1"/>
  <c r="F195" i="7" s="1"/>
  <c r="F196" i="7" a="1"/>
  <c r="F196" i="7" s="1"/>
  <c r="F197" i="7" a="1"/>
  <c r="F197" i="7" s="1"/>
  <c r="F198" i="7" a="1"/>
  <c r="F198" i="7" s="1"/>
  <c r="F199" i="7" a="1"/>
  <c r="F199" i="7" s="1"/>
  <c r="F200" i="7" a="1"/>
  <c r="F200" i="7" s="1"/>
  <c r="E2" i="7" a="1"/>
  <c r="E2" i="7" s="1"/>
  <c r="E3" i="7" a="1"/>
  <c r="E3" i="7" s="1"/>
  <c r="E4" i="7" a="1"/>
  <c r="E4" i="7" s="1"/>
  <c r="E5" i="7" a="1"/>
  <c r="E5" i="7" s="1"/>
  <c r="E6" i="7" a="1"/>
  <c r="E6" i="7" s="1"/>
  <c r="E7" i="7" a="1"/>
  <c r="E7" i="7" s="1"/>
  <c r="E8" i="7" a="1"/>
  <c r="E8" i="7" s="1"/>
  <c r="E9" i="7" a="1"/>
  <c r="E9" i="7" s="1"/>
  <c r="E10" i="7" a="1"/>
  <c r="E10" i="7" s="1"/>
  <c r="E11" i="7" a="1"/>
  <c r="E11" i="7" s="1"/>
  <c r="E12" i="7" a="1"/>
  <c r="E12" i="7" s="1"/>
  <c r="E13" i="7" a="1"/>
  <c r="E13" i="7" s="1"/>
  <c r="E14" i="7" a="1"/>
  <c r="E14" i="7" s="1"/>
  <c r="E15" i="7" a="1"/>
  <c r="E15" i="7" s="1"/>
  <c r="E16" i="7" a="1"/>
  <c r="E16" i="7" s="1"/>
  <c r="E17" i="7" a="1"/>
  <c r="E17" i="7" s="1"/>
  <c r="E18" i="7" a="1"/>
  <c r="E18" i="7" s="1"/>
  <c r="E19" i="7" a="1"/>
  <c r="E19" i="7" s="1"/>
  <c r="E20" i="7" a="1"/>
  <c r="E20" i="7" s="1"/>
  <c r="E21" i="7" a="1"/>
  <c r="E21" i="7" s="1"/>
  <c r="E22" i="7" a="1"/>
  <c r="E22" i="7" s="1"/>
  <c r="E23" i="7" a="1"/>
  <c r="E23" i="7" s="1"/>
  <c r="E24" i="7" a="1"/>
  <c r="E24" i="7" s="1"/>
  <c r="E25" i="7" a="1"/>
  <c r="E25" i="7" s="1"/>
  <c r="E26" i="7" a="1"/>
  <c r="E26" i="7" s="1"/>
  <c r="E27" i="7" a="1"/>
  <c r="E27" i="7" s="1"/>
  <c r="E28" i="7" a="1"/>
  <c r="E28" i="7" s="1"/>
  <c r="E29" i="7" a="1"/>
  <c r="E29" i="7" s="1"/>
  <c r="E30" i="7" a="1"/>
  <c r="E30" i="7" s="1"/>
  <c r="E31" i="7" a="1"/>
  <c r="E31" i="7" s="1"/>
  <c r="E32" i="7" a="1"/>
  <c r="E32" i="7" s="1"/>
  <c r="E33" i="7" a="1"/>
  <c r="E33" i="7" s="1"/>
  <c r="E34" i="7" a="1"/>
  <c r="E34" i="7" s="1"/>
  <c r="E35" i="7" a="1"/>
  <c r="E35" i="7" s="1"/>
  <c r="E36" i="7" a="1"/>
  <c r="E36" i="7" s="1"/>
  <c r="E37" i="7" a="1"/>
  <c r="E37" i="7" s="1"/>
  <c r="E38" i="7" a="1"/>
  <c r="E38" i="7" s="1"/>
  <c r="E39" i="7" a="1"/>
  <c r="E39" i="7" s="1"/>
  <c r="E40" i="7" a="1"/>
  <c r="E40" i="7" s="1"/>
  <c r="E41" i="7" a="1"/>
  <c r="E41" i="7" s="1"/>
  <c r="E42" i="7" a="1"/>
  <c r="E42" i="7" s="1"/>
  <c r="E43" i="7" a="1"/>
  <c r="E43" i="7" s="1"/>
  <c r="E44" i="7" a="1"/>
  <c r="E44" i="7" s="1"/>
  <c r="E45" i="7" a="1"/>
  <c r="E45" i="7" s="1"/>
  <c r="E46" i="7" a="1"/>
  <c r="E46" i="7" s="1"/>
  <c r="E47" i="7" a="1"/>
  <c r="E47" i="7" s="1"/>
  <c r="E48" i="7" a="1"/>
  <c r="E48" i="7" s="1"/>
  <c r="E49" i="7" a="1"/>
  <c r="E49" i="7" s="1"/>
  <c r="E50" i="7" a="1"/>
  <c r="E50" i="7" s="1"/>
  <c r="E51" i="7" a="1"/>
  <c r="E51" i="7" s="1"/>
  <c r="E52" i="7" a="1"/>
  <c r="E52" i="7" s="1"/>
  <c r="E53" i="7" a="1"/>
  <c r="E53" i="7" s="1"/>
  <c r="E54" i="7" a="1"/>
  <c r="E54" i="7" s="1"/>
  <c r="E55" i="7" a="1"/>
  <c r="E55" i="7" s="1"/>
  <c r="E56" i="7" a="1"/>
  <c r="E56" i="7" s="1"/>
  <c r="E57" i="7" a="1"/>
  <c r="E57" i="7" s="1"/>
  <c r="E58" i="7" a="1"/>
  <c r="E58" i="7" s="1"/>
  <c r="E59" i="7" a="1"/>
  <c r="E59" i="7" s="1"/>
  <c r="E60" i="7" a="1"/>
  <c r="E60" i="7" s="1"/>
  <c r="E61" i="7" a="1"/>
  <c r="E61" i="7" s="1"/>
  <c r="E62" i="7" a="1"/>
  <c r="E62" i="7" s="1"/>
  <c r="E63" i="7" a="1"/>
  <c r="E63" i="7" s="1"/>
  <c r="E64" i="7" a="1"/>
  <c r="E64" i="7" s="1"/>
  <c r="E65" i="7" a="1"/>
  <c r="E65" i="7" s="1"/>
  <c r="E66" i="7" a="1"/>
  <c r="E66" i="7" s="1"/>
  <c r="E67" i="7" a="1"/>
  <c r="E67" i="7" s="1"/>
  <c r="E68" i="7" a="1"/>
  <c r="E68" i="7" s="1"/>
  <c r="E69" i="7" a="1"/>
  <c r="E69" i="7" s="1"/>
  <c r="E70" i="7" a="1"/>
  <c r="E70" i="7" s="1"/>
  <c r="E71" i="7" a="1"/>
  <c r="E71" i="7" s="1"/>
  <c r="E72" i="7" a="1"/>
  <c r="E72" i="7" s="1"/>
  <c r="E73" i="7" a="1"/>
  <c r="E73" i="7" s="1"/>
  <c r="E74" i="7" a="1"/>
  <c r="E74" i="7" s="1"/>
  <c r="E75" i="7" a="1"/>
  <c r="E75" i="7" s="1"/>
  <c r="E76" i="7" a="1"/>
  <c r="E76" i="7" s="1"/>
  <c r="E77" i="7" a="1"/>
  <c r="E77" i="7" s="1"/>
  <c r="E78" i="7" a="1"/>
  <c r="E78" i="7" s="1"/>
  <c r="E79" i="7" a="1"/>
  <c r="E79" i="7" s="1"/>
  <c r="E80" i="7" a="1"/>
  <c r="E80" i="7" s="1"/>
  <c r="E81" i="7" a="1"/>
  <c r="E81" i="7" s="1"/>
  <c r="E82" i="7" a="1"/>
  <c r="E82" i="7" s="1"/>
  <c r="E83" i="7" a="1"/>
  <c r="E83" i="7" s="1"/>
  <c r="E84" i="7" a="1"/>
  <c r="E84" i="7" s="1"/>
  <c r="E85" i="7" a="1"/>
  <c r="E85" i="7" s="1"/>
  <c r="E86" i="7" a="1"/>
  <c r="E86" i="7" s="1"/>
  <c r="E87" i="7" a="1"/>
  <c r="E87" i="7" s="1"/>
  <c r="E88" i="7" a="1"/>
  <c r="E88" i="7" s="1"/>
  <c r="E89" i="7" a="1"/>
  <c r="E89" i="7" s="1"/>
  <c r="E90" i="7" a="1"/>
  <c r="E90" i="7" s="1"/>
  <c r="E91" i="7" a="1"/>
  <c r="E91" i="7" s="1"/>
  <c r="E92" i="7" a="1"/>
  <c r="E92" i="7" s="1"/>
  <c r="E93" i="7" a="1"/>
  <c r="E93" i="7" s="1"/>
  <c r="E94" i="7" a="1"/>
  <c r="E94" i="7" s="1"/>
  <c r="E95" i="7" a="1"/>
  <c r="E95" i="7" s="1"/>
  <c r="E96" i="7" a="1"/>
  <c r="E96" i="7" s="1"/>
  <c r="E97" i="7" a="1"/>
  <c r="E97" i="7" s="1"/>
  <c r="E98" i="7" a="1"/>
  <c r="E98" i="7" s="1"/>
  <c r="E99" i="7" a="1"/>
  <c r="E99" i="7" s="1"/>
  <c r="E100" i="7" a="1"/>
  <c r="E100" i="7" s="1"/>
  <c r="E101" i="7" a="1"/>
  <c r="E101" i="7" s="1"/>
  <c r="E102" i="7" a="1"/>
  <c r="E102" i="7" s="1"/>
  <c r="E103" i="7" a="1"/>
  <c r="E103" i="7" s="1"/>
  <c r="E104" i="7" a="1"/>
  <c r="E104" i="7" s="1"/>
  <c r="E105" i="7" a="1"/>
  <c r="E105" i="7" s="1"/>
  <c r="E106" i="7" a="1"/>
  <c r="E106" i="7" s="1"/>
  <c r="E107" i="7" a="1"/>
  <c r="E107" i="7" s="1"/>
  <c r="E108" i="7" a="1"/>
  <c r="E108" i="7" s="1"/>
  <c r="E109" i="7" a="1"/>
  <c r="E109" i="7" s="1"/>
  <c r="E110" i="7" a="1"/>
  <c r="E110" i="7" s="1"/>
  <c r="E111" i="7" a="1"/>
  <c r="E111" i="7" s="1"/>
  <c r="E112" i="7" a="1"/>
  <c r="E112" i="7" s="1"/>
  <c r="E113" i="7" a="1"/>
  <c r="E113" i="7" s="1"/>
  <c r="E114" i="7" a="1"/>
  <c r="E114" i="7" s="1"/>
  <c r="E115" i="7" a="1"/>
  <c r="E115" i="7" s="1"/>
  <c r="E116" i="7" a="1"/>
  <c r="E116" i="7" s="1"/>
  <c r="E117" i="7" a="1"/>
  <c r="E117" i="7" s="1"/>
  <c r="E118" i="7" a="1"/>
  <c r="E118" i="7" s="1"/>
  <c r="E119" i="7" a="1"/>
  <c r="E119" i="7" s="1"/>
  <c r="E120" i="7" a="1"/>
  <c r="E120" i="7" s="1"/>
  <c r="E121" i="7" a="1"/>
  <c r="E121" i="7" s="1"/>
  <c r="E122" i="7" a="1"/>
  <c r="E122" i="7" s="1"/>
  <c r="E123" i="7" a="1"/>
  <c r="E123" i="7" s="1"/>
  <c r="E124" i="7" a="1"/>
  <c r="E124" i="7" s="1"/>
  <c r="E125" i="7" a="1"/>
  <c r="E125" i="7" s="1"/>
  <c r="E126" i="7" a="1"/>
  <c r="E126" i="7" s="1"/>
  <c r="E127" i="7" a="1"/>
  <c r="E127" i="7" s="1"/>
  <c r="E128" i="7" a="1"/>
  <c r="E128" i="7" s="1"/>
  <c r="E129" i="7" a="1"/>
  <c r="E129" i="7" s="1"/>
  <c r="E130" i="7" a="1"/>
  <c r="E130" i="7" s="1"/>
  <c r="E131" i="7" a="1"/>
  <c r="E131" i="7" s="1"/>
  <c r="E132" i="7" a="1"/>
  <c r="E132" i="7" s="1"/>
  <c r="E133" i="7" a="1"/>
  <c r="E133" i="7" s="1"/>
  <c r="E134" i="7" a="1"/>
  <c r="E134" i="7" s="1"/>
  <c r="E135" i="7" a="1"/>
  <c r="E135" i="7" s="1"/>
  <c r="E136" i="7" a="1"/>
  <c r="E136" i="7" s="1"/>
  <c r="E137" i="7" a="1"/>
  <c r="E137" i="7" s="1"/>
  <c r="E138" i="7" a="1"/>
  <c r="E138" i="7" s="1"/>
  <c r="E139" i="7" a="1"/>
  <c r="E139" i="7" s="1"/>
  <c r="E140" i="7" a="1"/>
  <c r="E140" i="7" s="1"/>
  <c r="E141" i="7" a="1"/>
  <c r="E141" i="7" s="1"/>
  <c r="E142" i="7" a="1"/>
  <c r="E142" i="7" s="1"/>
  <c r="E143" i="7" a="1"/>
  <c r="E143" i="7" s="1"/>
  <c r="E144" i="7" a="1"/>
  <c r="E144" i="7" s="1"/>
  <c r="E145" i="7" a="1"/>
  <c r="E145" i="7" s="1"/>
  <c r="E146" i="7" a="1"/>
  <c r="E146" i="7" s="1"/>
  <c r="E147" i="7" a="1"/>
  <c r="E147" i="7" s="1"/>
  <c r="E148" i="7" a="1"/>
  <c r="E148" i="7" s="1"/>
  <c r="E149" i="7" a="1"/>
  <c r="E149" i="7" s="1"/>
  <c r="E150" i="7" a="1"/>
  <c r="E150" i="7" s="1"/>
  <c r="E151" i="7" a="1"/>
  <c r="E151" i="7" s="1"/>
  <c r="E152" i="7" a="1"/>
  <c r="E152" i="7" s="1"/>
  <c r="E153" i="7" a="1"/>
  <c r="E153" i="7" s="1"/>
  <c r="E154" i="7" a="1"/>
  <c r="E154" i="7" s="1"/>
  <c r="E155" i="7" a="1"/>
  <c r="E155" i="7" s="1"/>
  <c r="E156" i="7" a="1"/>
  <c r="E156" i="7" s="1"/>
  <c r="E157" i="7" a="1"/>
  <c r="E157" i="7" s="1"/>
  <c r="E158" i="7" a="1"/>
  <c r="E158" i="7" s="1"/>
  <c r="E159" i="7" a="1"/>
  <c r="E159" i="7" s="1"/>
  <c r="E160" i="7" a="1"/>
  <c r="E160" i="7" s="1"/>
  <c r="E161" i="7" a="1"/>
  <c r="E161" i="7" s="1"/>
  <c r="E162" i="7" a="1"/>
  <c r="E162" i="7" s="1"/>
  <c r="E163" i="7" a="1"/>
  <c r="E163" i="7" s="1"/>
  <c r="E164" i="7" a="1"/>
  <c r="E164" i="7" s="1"/>
  <c r="E165" i="7" a="1"/>
  <c r="E165" i="7" s="1"/>
  <c r="E166" i="7" a="1"/>
  <c r="E166" i="7" s="1"/>
  <c r="E167" i="7" a="1"/>
  <c r="E167" i="7" s="1"/>
  <c r="E168" i="7" a="1"/>
  <c r="E168" i="7" s="1"/>
  <c r="E169" i="7" a="1"/>
  <c r="E169" i="7" s="1"/>
  <c r="E170" i="7" a="1"/>
  <c r="E170" i="7" s="1"/>
  <c r="E171" i="7" a="1"/>
  <c r="E171" i="7" s="1"/>
  <c r="E172" i="7" a="1"/>
  <c r="E172" i="7" s="1"/>
  <c r="E173" i="7" a="1"/>
  <c r="E173" i="7" s="1"/>
  <c r="E174" i="7" a="1"/>
  <c r="E174" i="7" s="1"/>
  <c r="E175" i="7" a="1"/>
  <c r="E175" i="7" s="1"/>
  <c r="E176" i="7" a="1"/>
  <c r="E176" i="7" s="1"/>
  <c r="E177" i="7" a="1"/>
  <c r="E177" i="7" s="1"/>
  <c r="E178" i="7" a="1"/>
  <c r="E178" i="7" s="1"/>
  <c r="E179" i="7" a="1"/>
  <c r="E179" i="7" s="1"/>
  <c r="E180" i="7" a="1"/>
  <c r="E180" i="7" s="1"/>
  <c r="E181" i="7" a="1"/>
  <c r="E181" i="7" s="1"/>
  <c r="E182" i="7" a="1"/>
  <c r="E182" i="7" s="1"/>
  <c r="E183" i="7" a="1"/>
  <c r="E183" i="7" s="1"/>
  <c r="E184" i="7" a="1"/>
  <c r="E184" i="7" s="1"/>
  <c r="E185" i="7" a="1"/>
  <c r="E185" i="7" s="1"/>
  <c r="E186" i="7" a="1"/>
  <c r="E186" i="7" s="1"/>
  <c r="E187" i="7" a="1"/>
  <c r="E187" i="7" s="1"/>
  <c r="E188" i="7" a="1"/>
  <c r="E188" i="7" s="1"/>
  <c r="E189" i="7" a="1"/>
  <c r="E189" i="7" s="1"/>
  <c r="E190" i="7" a="1"/>
  <c r="E190" i="7" s="1"/>
  <c r="E191" i="7" a="1"/>
  <c r="E191" i="7" s="1"/>
  <c r="E192" i="7" a="1"/>
  <c r="E192" i="7" s="1"/>
  <c r="E193" i="7" a="1"/>
  <c r="E193" i="7" s="1"/>
  <c r="E194" i="7" a="1"/>
  <c r="E194" i="7" s="1"/>
  <c r="E195" i="7" a="1"/>
  <c r="E195" i="7" s="1"/>
  <c r="E196" i="7" a="1"/>
  <c r="E196" i="7" s="1"/>
  <c r="E197" i="7" a="1"/>
  <c r="E197" i="7" s="1"/>
  <c r="E198" i="7" a="1"/>
  <c r="E198" i="7" s="1"/>
  <c r="E199" i="7" a="1"/>
  <c r="E199" i="7" s="1"/>
  <c r="E200" i="7" a="1"/>
  <c r="E200" i="7" s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" i="7"/>
  <c r="A2" i="7" a="1"/>
  <c r="A2" i="7" s="1"/>
  <c r="A3" i="7" a="1"/>
  <c r="A3" i="7" s="1"/>
  <c r="A4" i="7" a="1"/>
  <c r="A4" i="7" s="1"/>
  <c r="A5" i="7" a="1"/>
  <c r="A5" i="7" s="1"/>
  <c r="A6" i="7" a="1"/>
  <c r="A6" i="7" s="1"/>
  <c r="A7" i="7" a="1"/>
  <c r="A7" i="7" s="1"/>
  <c r="A8" i="7" a="1"/>
  <c r="A8" i="7" s="1"/>
  <c r="A9" i="7" a="1"/>
  <c r="A9" i="7" s="1"/>
  <c r="A10" i="7" a="1"/>
  <c r="A10" i="7" s="1"/>
  <c r="A11" i="7" a="1"/>
  <c r="A11" i="7" s="1"/>
  <c r="A12" i="7" a="1"/>
  <c r="A12" i="7" s="1"/>
  <c r="A13" i="7" a="1"/>
  <c r="A13" i="7" s="1"/>
  <c r="A14" i="7" a="1"/>
  <c r="A14" i="7" s="1"/>
  <c r="A15" i="7" a="1"/>
  <c r="A15" i="7" s="1"/>
  <c r="A16" i="7" a="1"/>
  <c r="A16" i="7" s="1"/>
  <c r="A17" i="7" a="1"/>
  <c r="A17" i="7" s="1"/>
  <c r="A18" i="7" a="1"/>
  <c r="A18" i="7" s="1"/>
  <c r="A19" i="7" a="1"/>
  <c r="A19" i="7" s="1"/>
  <c r="A20" i="7" a="1"/>
  <c r="A20" i="7" s="1"/>
  <c r="A21" i="7" a="1"/>
  <c r="A21" i="7" s="1"/>
  <c r="A22" i="7" a="1"/>
  <c r="A22" i="7" s="1"/>
  <c r="A23" i="7" a="1"/>
  <c r="A23" i="7" s="1"/>
  <c r="A24" i="7" a="1"/>
  <c r="A24" i="7" s="1"/>
  <c r="A25" i="7" a="1"/>
  <c r="A25" i="7" s="1"/>
  <c r="A26" i="7" a="1"/>
  <c r="A26" i="7" s="1"/>
  <c r="A27" i="7" a="1"/>
  <c r="A27" i="7" s="1"/>
  <c r="A28" i="7" a="1"/>
  <c r="A28" i="7" s="1"/>
  <c r="A29" i="7" a="1"/>
  <c r="A29" i="7" s="1"/>
  <c r="A30" i="7" a="1"/>
  <c r="A30" i="7" s="1"/>
  <c r="A31" i="7" a="1"/>
  <c r="A31" i="7" s="1"/>
  <c r="A32" i="7" a="1"/>
  <c r="A32" i="7" s="1"/>
  <c r="A33" i="7" a="1"/>
  <c r="A33" i="7" s="1"/>
  <c r="A34" i="7" a="1"/>
  <c r="A34" i="7" s="1"/>
  <c r="A35" i="7" a="1"/>
  <c r="A35" i="7" s="1"/>
  <c r="A36" i="7" a="1"/>
  <c r="A36" i="7" s="1"/>
  <c r="A37" i="7" a="1"/>
  <c r="A37" i="7" s="1"/>
  <c r="A38" i="7" a="1"/>
  <c r="A38" i="7" s="1"/>
  <c r="A39" i="7" a="1"/>
  <c r="A39" i="7" s="1"/>
  <c r="A40" i="7" a="1"/>
  <c r="A40" i="7" s="1"/>
  <c r="A41" i="7" a="1"/>
  <c r="A41" i="7" s="1"/>
  <c r="A42" i="7" a="1"/>
  <c r="A42" i="7" s="1"/>
  <c r="A43" i="7" a="1"/>
  <c r="A43" i="7" s="1"/>
  <c r="A44" i="7" a="1"/>
  <c r="A44" i="7" s="1"/>
  <c r="A45" i="7" a="1"/>
  <c r="A45" i="7" s="1"/>
  <c r="A46" i="7" a="1"/>
  <c r="A46" i="7" s="1"/>
  <c r="A47" i="7" a="1"/>
  <c r="A47" i="7" s="1"/>
  <c r="A48" i="7" a="1"/>
  <c r="A48" i="7" s="1"/>
  <c r="A49" i="7" a="1"/>
  <c r="A49" i="7" s="1"/>
  <c r="A50" i="7" a="1"/>
  <c r="A50" i="7" s="1"/>
  <c r="A51" i="7" a="1"/>
  <c r="A51" i="7" s="1"/>
  <c r="A52" i="7" a="1"/>
  <c r="A52" i="7" s="1"/>
  <c r="A53" i="7" a="1"/>
  <c r="A53" i="7" s="1"/>
  <c r="A54" i="7" a="1"/>
  <c r="A54" i="7" s="1"/>
  <c r="A55" i="7" a="1"/>
  <c r="A55" i="7" s="1"/>
  <c r="A56" i="7" a="1"/>
  <c r="A56" i="7" s="1"/>
  <c r="A57" i="7" a="1"/>
  <c r="A57" i="7" s="1"/>
  <c r="A58" i="7" a="1"/>
  <c r="A58" i="7" s="1"/>
  <c r="A59" i="7" a="1"/>
  <c r="A59" i="7" s="1"/>
  <c r="A60" i="7" a="1"/>
  <c r="A60" i="7" s="1"/>
  <c r="A61" i="7" a="1"/>
  <c r="A61" i="7" s="1"/>
  <c r="A62" i="7" a="1"/>
  <c r="A62" i="7" s="1"/>
  <c r="A63" i="7" a="1"/>
  <c r="A63" i="7" s="1"/>
  <c r="A64" i="7" a="1"/>
  <c r="A64" i="7" s="1"/>
  <c r="A65" i="7" a="1"/>
  <c r="A65" i="7" s="1"/>
  <c r="A66" i="7" a="1"/>
  <c r="A66" i="7" s="1"/>
  <c r="A67" i="7" a="1"/>
  <c r="A67" i="7" s="1"/>
  <c r="A68" i="7" a="1"/>
  <c r="A68" i="7" s="1"/>
  <c r="A69" i="7" a="1"/>
  <c r="A69" i="7" s="1"/>
  <c r="A70" i="7" a="1"/>
  <c r="A70" i="7" s="1"/>
  <c r="A71" i="7" a="1"/>
  <c r="A71" i="7" s="1"/>
  <c r="A72" i="7" a="1"/>
  <c r="A72" i="7" s="1"/>
  <c r="A73" i="7" a="1"/>
  <c r="A73" i="7" s="1"/>
  <c r="A74" i="7" a="1"/>
  <c r="A74" i="7" s="1"/>
  <c r="A75" i="7" a="1"/>
  <c r="A75" i="7" s="1"/>
  <c r="A76" i="7" a="1"/>
  <c r="A76" i="7" s="1"/>
  <c r="A77" i="7" a="1"/>
  <c r="A77" i="7" s="1"/>
  <c r="A78" i="7" a="1"/>
  <c r="A78" i="7" s="1"/>
  <c r="A79" i="7" a="1"/>
  <c r="A79" i="7" s="1"/>
  <c r="A80" i="7" a="1"/>
  <c r="A80" i="7" s="1"/>
  <c r="A81" i="7" a="1"/>
  <c r="A81" i="7" s="1"/>
  <c r="A82" i="7" a="1"/>
  <c r="A82" i="7" s="1"/>
  <c r="A83" i="7" a="1"/>
  <c r="A83" i="7" s="1"/>
  <c r="A84" i="7" a="1"/>
  <c r="A84" i="7" s="1"/>
  <c r="A85" i="7" a="1"/>
  <c r="A85" i="7" s="1"/>
  <c r="A86" i="7" a="1"/>
  <c r="A86" i="7" s="1"/>
  <c r="A87" i="7" a="1"/>
  <c r="A87" i="7" s="1"/>
  <c r="A88" i="7" a="1"/>
  <c r="A88" i="7" s="1"/>
  <c r="A89" i="7" a="1"/>
  <c r="A89" i="7" s="1"/>
  <c r="A90" i="7" a="1"/>
  <c r="A90" i="7" s="1"/>
  <c r="A91" i="7" a="1"/>
  <c r="A91" i="7" s="1"/>
  <c r="A92" i="7" a="1"/>
  <c r="A92" i="7" s="1"/>
  <c r="A93" i="7" a="1"/>
  <c r="A93" i="7" s="1"/>
  <c r="A94" i="7" a="1"/>
  <c r="A94" i="7" s="1"/>
  <c r="A95" i="7" a="1"/>
  <c r="A95" i="7" s="1"/>
  <c r="A96" i="7" a="1"/>
  <c r="A96" i="7" s="1"/>
  <c r="A97" i="7" a="1"/>
  <c r="A97" i="7" s="1"/>
  <c r="A98" i="7" a="1"/>
  <c r="A98" i="7" s="1"/>
  <c r="A99" i="7" a="1"/>
  <c r="A99" i="7" s="1"/>
  <c r="A100" i="7" a="1"/>
  <c r="A100" i="7" s="1"/>
  <c r="A101" i="7" a="1"/>
  <c r="A101" i="7" s="1"/>
  <c r="A102" i="7" a="1"/>
  <c r="A102" i="7" s="1"/>
  <c r="A103" i="7" a="1"/>
  <c r="A103" i="7" s="1"/>
  <c r="A104" i="7" a="1"/>
  <c r="A104" i="7" s="1"/>
  <c r="A105" i="7" a="1"/>
  <c r="A105" i="7" s="1"/>
  <c r="A106" i="7" a="1"/>
  <c r="A106" i="7" s="1"/>
  <c r="A107" i="7" a="1"/>
  <c r="A107" i="7" s="1"/>
  <c r="A108" i="7" a="1"/>
  <c r="A108" i="7" s="1"/>
  <c r="A109" i="7" a="1"/>
  <c r="A109" i="7" s="1"/>
  <c r="A110" i="7" a="1"/>
  <c r="A110" i="7" s="1"/>
  <c r="A111" i="7" a="1"/>
  <c r="A111" i="7" s="1"/>
  <c r="A112" i="7" a="1"/>
  <c r="A112" i="7" s="1"/>
  <c r="A113" i="7" a="1"/>
  <c r="A113" i="7" s="1"/>
  <c r="A114" i="7" a="1"/>
  <c r="A114" i="7" s="1"/>
  <c r="A115" i="7" a="1"/>
  <c r="A115" i="7" s="1"/>
  <c r="A116" i="7" a="1"/>
  <c r="A116" i="7" s="1"/>
  <c r="A117" i="7" a="1"/>
  <c r="A117" i="7" s="1"/>
  <c r="A118" i="7" a="1"/>
  <c r="A118" i="7" s="1"/>
  <c r="A119" i="7" a="1"/>
  <c r="A119" i="7" s="1"/>
  <c r="A120" i="7" a="1"/>
  <c r="A120" i="7" s="1"/>
  <c r="A121" i="7" a="1"/>
  <c r="A121" i="7" s="1"/>
  <c r="A122" i="7" a="1"/>
  <c r="A122" i="7" s="1"/>
  <c r="A123" i="7" a="1"/>
  <c r="A123" i="7" s="1"/>
  <c r="A124" i="7" a="1"/>
  <c r="A124" i="7" s="1"/>
  <c r="A125" i="7" a="1"/>
  <c r="A125" i="7" s="1"/>
  <c r="A126" i="7" a="1"/>
  <c r="A126" i="7" s="1"/>
  <c r="A127" i="7" a="1"/>
  <c r="A127" i="7" s="1"/>
  <c r="A128" i="7" a="1"/>
  <c r="A128" i="7" s="1"/>
  <c r="A129" i="7" a="1"/>
  <c r="A129" i="7" s="1"/>
  <c r="A130" i="7" a="1"/>
  <c r="A130" i="7" s="1"/>
  <c r="A131" i="7" a="1"/>
  <c r="A131" i="7" s="1"/>
  <c r="A132" i="7" a="1"/>
  <c r="A132" i="7" s="1"/>
  <c r="A133" i="7" a="1"/>
  <c r="A133" i="7" s="1"/>
  <c r="A134" i="7" a="1"/>
  <c r="A134" i="7" s="1"/>
  <c r="A135" i="7" a="1"/>
  <c r="A135" i="7" s="1"/>
  <c r="A136" i="7" a="1"/>
  <c r="A136" i="7" s="1"/>
  <c r="A137" i="7" a="1"/>
  <c r="A137" i="7" s="1"/>
  <c r="A138" i="7" a="1"/>
  <c r="A138" i="7" s="1"/>
  <c r="A139" i="7" a="1"/>
  <c r="A139" i="7" s="1"/>
  <c r="A140" i="7" a="1"/>
  <c r="A140" i="7" s="1"/>
  <c r="A141" i="7" a="1"/>
  <c r="A141" i="7" s="1"/>
  <c r="A142" i="7" a="1"/>
  <c r="A142" i="7" s="1"/>
  <c r="A143" i="7" a="1"/>
  <c r="A143" i="7" s="1"/>
  <c r="A144" i="7" a="1"/>
  <c r="A144" i="7" s="1"/>
  <c r="A145" i="7" a="1"/>
  <c r="A145" i="7" s="1"/>
  <c r="A146" i="7" a="1"/>
  <c r="A146" i="7" s="1"/>
  <c r="A147" i="7" a="1"/>
  <c r="A147" i="7" s="1"/>
  <c r="A148" i="7" a="1"/>
  <c r="A148" i="7" s="1"/>
  <c r="A149" i="7" a="1"/>
  <c r="A149" i="7" s="1"/>
  <c r="A150" i="7" a="1"/>
  <c r="A150" i="7" s="1"/>
  <c r="A151" i="7" a="1"/>
  <c r="A151" i="7" s="1"/>
  <c r="A152" i="7" a="1"/>
  <c r="A152" i="7" s="1"/>
  <c r="A153" i="7" a="1"/>
  <c r="A153" i="7" s="1"/>
  <c r="A154" i="7" a="1"/>
  <c r="A154" i="7" s="1"/>
  <c r="A155" i="7" a="1"/>
  <c r="A155" i="7" s="1"/>
  <c r="A156" i="7" a="1"/>
  <c r="A156" i="7" s="1"/>
  <c r="A157" i="7" a="1"/>
  <c r="A157" i="7" s="1"/>
  <c r="A158" i="7" a="1"/>
  <c r="A158" i="7" s="1"/>
  <c r="A159" i="7" a="1"/>
  <c r="A159" i="7" s="1"/>
  <c r="A160" i="7" a="1"/>
  <c r="A160" i="7" s="1"/>
  <c r="A161" i="7" a="1"/>
  <c r="A161" i="7" s="1"/>
  <c r="A162" i="7" a="1"/>
  <c r="A162" i="7" s="1"/>
  <c r="A163" i="7" a="1"/>
  <c r="A163" i="7" s="1"/>
  <c r="A164" i="7" a="1"/>
  <c r="A164" i="7" s="1"/>
  <c r="A165" i="7" a="1"/>
  <c r="A165" i="7" s="1"/>
  <c r="A166" i="7" a="1"/>
  <c r="A166" i="7" s="1"/>
  <c r="A167" i="7" a="1"/>
  <c r="A167" i="7" s="1"/>
  <c r="A168" i="7" a="1"/>
  <c r="A168" i="7" s="1"/>
  <c r="A169" i="7" a="1"/>
  <c r="A169" i="7" s="1"/>
  <c r="A170" i="7" a="1"/>
  <c r="A170" i="7" s="1"/>
  <c r="A171" i="7" a="1"/>
  <c r="A171" i="7" s="1"/>
  <c r="A172" i="7" a="1"/>
  <c r="A172" i="7" s="1"/>
  <c r="A173" i="7" a="1"/>
  <c r="A173" i="7" s="1"/>
  <c r="A174" i="7" a="1"/>
  <c r="A174" i="7" s="1"/>
  <c r="A175" i="7" a="1"/>
  <c r="A175" i="7" s="1"/>
  <c r="A176" i="7" a="1"/>
  <c r="A176" i="7" s="1"/>
  <c r="A177" i="7" a="1"/>
  <c r="A177" i="7" s="1"/>
  <c r="A178" i="7" a="1"/>
  <c r="A178" i="7" s="1"/>
  <c r="A179" i="7" a="1"/>
  <c r="A179" i="7" s="1"/>
  <c r="A180" i="7" a="1"/>
  <c r="A180" i="7" s="1"/>
  <c r="A181" i="7" a="1"/>
  <c r="A181" i="7" s="1"/>
  <c r="A182" i="7" a="1"/>
  <c r="A182" i="7" s="1"/>
  <c r="A183" i="7" a="1"/>
  <c r="A183" i="7" s="1"/>
  <c r="A184" i="7" a="1"/>
  <c r="A184" i="7" s="1"/>
  <c r="A185" i="7" a="1"/>
  <c r="A185" i="7" s="1"/>
  <c r="A186" i="7" a="1"/>
  <c r="A186" i="7" s="1"/>
  <c r="A187" i="7" a="1"/>
  <c r="A187" i="7" s="1"/>
  <c r="A188" i="7" a="1"/>
  <c r="A188" i="7" s="1"/>
  <c r="A189" i="7" a="1"/>
  <c r="A189" i="7" s="1"/>
  <c r="A190" i="7" a="1"/>
  <c r="A190" i="7" s="1"/>
  <c r="A191" i="7" a="1"/>
  <c r="A191" i="7" s="1"/>
  <c r="A192" i="7" a="1"/>
  <c r="A192" i="7" s="1"/>
  <c r="A193" i="7" a="1"/>
  <c r="A193" i="7" s="1"/>
  <c r="A194" i="7" a="1"/>
  <c r="A194" i="7" s="1"/>
  <c r="A195" i="7" a="1"/>
  <c r="A195" i="7" s="1"/>
  <c r="A196" i="7" a="1"/>
  <c r="A196" i="7" s="1"/>
  <c r="A197" i="7" a="1"/>
  <c r="A197" i="7" s="1"/>
  <c r="A198" i="7" a="1"/>
  <c r="A198" i="7" s="1"/>
  <c r="A199" i="7" a="1"/>
  <c r="A199" i="7" s="1"/>
  <c r="A200" i="7" a="1"/>
  <c r="A200" i="7" s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B2" i="2"/>
  <c r="E2" i="2" s="1"/>
  <c r="C2" i="2" l="1"/>
  <c r="D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<sst xmlns="http://schemas.openxmlformats.org/spreadsheetml/2006/main" count="32" uniqueCount="29">
  <si>
    <t>Tâche</t>
  </si>
  <si>
    <t>Début</t>
  </si>
  <si>
    <t>Fin</t>
  </si>
  <si>
    <t>Durée</t>
  </si>
  <si>
    <t>VA/NVA</t>
  </si>
  <si>
    <t>Catégorie</t>
  </si>
  <si>
    <t>VA</t>
  </si>
  <si>
    <t>NVA</t>
  </si>
  <si>
    <t>Non classé</t>
  </si>
  <si>
    <t>Temps (format affichage [h]:mm:ss)</t>
  </si>
  <si>
    <t>% (format Pourcentage)</t>
  </si>
  <si>
    <t>Début (valeur Excel date+heure</t>
  </si>
  <si>
    <t>Fin (valeur Excel date+heure)</t>
  </si>
  <si>
    <t>Durée (peut être texte ou valeur)</t>
  </si>
  <si>
    <t>Durée (jours)</t>
  </si>
  <si>
    <t>Durée (ms)</t>
  </si>
  <si>
    <t>Durée (affichage)</t>
  </si>
  <si>
    <t>Étiquettes de lignes</t>
  </si>
  <si>
    <t>(vide)</t>
  </si>
  <si>
    <t>Total général</t>
  </si>
  <si>
    <t>Somme de Durée (jours)</t>
  </si>
  <si>
    <t>Obtenir les "sous‑temps" (occurrences) pour chaque tâche : double‑clic sur la cellule du total d’une tâche</t>
  </si>
  <si>
    <t>Occurrences</t>
  </si>
  <si>
    <t>Temps total</t>
  </si>
  <si>
    <t>Temps moyen</t>
  </si>
  <si>
    <t>Temps min</t>
  </si>
  <si>
    <t>Temps max</t>
  </si>
  <si>
    <t>% du temps total</t>
  </si>
  <si>
    <t>Total session (jours)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</si>
</sst>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12">
    <dxf>
      <numFmt numFmtId="164" formatCode="hh:mm:ss.00"/>
    </dxf>
    <dxf>
      <numFmt numFmtId="0" formatCode="General"/>
    </dxf>
    <dxf>
      <numFmt numFmtId="164" formatCode="hh:mm:ss.00"/>
    </dxf>
    <dxf>
      <numFmt numFmtId="14" formatCode="0.00%"/>
    </dxf>
    <dxf>
      <numFmt numFmtId="164" formatCode="hh:mm:ss.00"/>
    </dxf>
    <dxf>
      <numFmt numFmtId="164" formatCode="hh:mm:ss.00"/>
    </dxf>
    <dxf>
      <numFmt numFmtId="164" formatCode="hh:mm:ss.00"/>
    </dxf>
    <dxf>
      <numFmt numFmtId="164" formatCode="hh:mm:ss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VA/NVA</a:t>
            </a:r>
          </a:p>
        </c:rich>
      </c:tx>
      <c:layout>
        <c:manualLayout>
          <c:xMode val="edge"/>
          <c:yMode val="edge"/>
          <c:x val="4.0412777777777784E-2"/>
          <c:y val="3.762962962962963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4059259259259255"/>
          <c:y val="6.1148148148148146E-2"/>
          <c:w val="0.44825925925925925"/>
          <c:h val="0.89651851851851849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cat>
            <c:numRef>
              <c:f>Data!$A$2:$A$100</c:f>
              <c:numCache>
                <c:formatCode>General</c:formatCode>
                <c:ptCount val="99"/>
              </c:numCache>
            </c:numRef>
          </c:cat>
          <c:val>
            <c:numRef>
              <c:f>Data!$B$2:$B$100</c:f>
              <c:numCache>
                <c:formatCode>General</c:formatCode>
                <c:ptCount val="99"/>
              </c:numCache>
            </c:numRef>
          </c:val>
          <c:extLst>
            <c:ext xmlns:c16="http://schemas.microsoft.com/office/drawing/2014/chart" uri="{C3380CC4-5D6E-409C-BE32-E72D297353CC}">
              <c16:uniqueId val="{00000000-0EE4-4291-92B4-21FAF4E5B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Répartition par activité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cat>
            <c:numRef>
              <c:f>Data!$A$2:$A$1000</c:f>
              <c:numCache>
                <c:formatCode>General</c:formatCode>
                <c:ptCount val="999"/>
              </c:numCache>
            </c:numRef>
          </c:cat>
          <c:val>
            <c:numRef>
              <c:f>Data!$B$2:$B$1000</c:f>
              <c:numCache>
                <c:formatCode>General</c:formatCode>
                <c:ptCount val="999"/>
              </c:numCache>
            </c:numRef>
          </c:val>
          <c:extLst>
            <c:ext xmlns:c16="http://schemas.microsoft.com/office/drawing/2014/chart" uri="{C3380CC4-5D6E-409C-BE32-E72D297353CC}">
              <c16:uniqueId val="{00000000-AE2B-4BE1-AD30-9176F9452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Temps moyen par tâche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numRef>
              <c:f>Data!$A$2:$A$1000</c:f>
              <c:numCache>
                <c:formatCode>General</c:formatCode>
                <c:ptCount val="999"/>
              </c:numCache>
            </c:numRef>
          </c:cat>
          <c:val>
            <c:numRef>
              <c:f>Data!$B$2:$B$1000</c:f>
              <c:numCache>
                <c:formatCode>General</c:formatCode>
                <c:ptCount val="999"/>
              </c:numCache>
            </c:numRef>
          </c:val>
          <c:extLst>
            <c:ext xmlns:c16="http://schemas.microsoft.com/office/drawing/2014/chart" uri="{C3380CC4-5D6E-409C-BE32-E72D297353CC}">
              <c16:uniqueId val="{00000000-D51B-4F3F-8446-8395C06ED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/>
              <a:t>Courbe(s) de Gauss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8222222222222221E-2"/>
          <c:y val="5.174074074074074E-2"/>
          <c:w val="0.86359259259259258"/>
          <c:h val="0.89651851851851849"/>
        </c:manualLayout>
      </c:layout>
      <c:scatterChart>
        <c:scatterStyle val="lineMarker"/>
        <c:varyColors val="1"/>
        <c:ser>
          <c:idx val="0"/>
          <c:order val="0"/>
          <c:tx>
            <c:v>Toutes les tâches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Data!$B$2:$B$5000</c:f>
              <c:numCache>
                <c:formatCode>General</c:formatCode>
                <c:ptCount val="4999"/>
              </c:numCache>
            </c:numRef>
          </c:xVal>
          <c:yVal>
            <c:numRef>
              <c:f>Data!$C$2:$C$5000</c:f>
              <c:numCache>
                <c:formatCode>General</c:formatCode>
                <c:ptCount val="4999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97-4833-A2A1-D9E15FC20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25400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508000</xdr:colOff>
      <xdr:row>0</xdr:row>
      <xdr:rowOff>44450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31750</xdr:colOff>
      <xdr:row>19</xdr:row>
      <xdr:rowOff>133350</xdr:rowOff>
    </xdr:from>
    <xdr:ext cx="540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44450</xdr:colOff>
      <xdr:row>17</xdr:row>
      <xdr:rowOff>44450</xdr:rowOff>
    </xdr:from>
    <xdr:ext cx="540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059169\Downloads\suivi_operateur_fdsc_2025-11-04_from_template.xlsx" TargetMode="External"/><Relationship Id="rId1" Type="http://schemas.openxmlformats.org/officeDocument/2006/relationships/externalLinkPath" Target="file:///C:\Users\a059169\Downloads\suivi_operateur_fdsc_2025-11-04_from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Dashboard"/>
    </sheetNames>
    <sheetDataSet>
      <sheetData sheetId="0">
        <row r="1">
          <cell r="D1" t="str">
            <v>Durée</v>
          </cell>
          <cell r="E1" t="str">
            <v>VA/NVA</v>
          </cell>
        </row>
        <row r="2">
          <cell r="D2"/>
          <cell r="E2" t="str">
            <v>VA</v>
          </cell>
        </row>
        <row r="3">
          <cell r="D3"/>
          <cell r="E3" t="str">
            <v>VA</v>
          </cell>
        </row>
        <row r="4">
          <cell r="D4"/>
          <cell r="E4" t="str">
            <v>NVA</v>
          </cell>
        </row>
        <row r="5">
          <cell r="D5"/>
          <cell r="E5" t="str">
            <v>NVA</v>
          </cell>
        </row>
        <row r="6">
          <cell r="D6"/>
          <cell r="E6" t="str">
            <v>VA</v>
          </cell>
        </row>
        <row r="7">
          <cell r="D7"/>
          <cell r="E7" t="str">
            <v>NVA</v>
          </cell>
        </row>
        <row r="8">
          <cell r="D8"/>
          <cell r="E8" t="str">
            <v>NVA</v>
          </cell>
        </row>
        <row r="9">
          <cell r="D9"/>
          <cell r="E9" t="str">
            <v>VA</v>
          </cell>
        </row>
        <row r="10">
          <cell r="D10"/>
          <cell r="E10" t="str">
            <v>VA</v>
          </cell>
        </row>
        <row r="11">
          <cell r="D11"/>
          <cell r="E11" t="str">
            <v>VA</v>
          </cell>
        </row>
        <row r="12">
          <cell r="D12"/>
        </row>
        <row r="13">
          <cell r="D13"/>
        </row>
        <row r="14">
          <cell r="D14"/>
        </row>
        <row r="15">
          <cell r="D15"/>
        </row>
        <row r="16">
          <cell r="D16"/>
        </row>
        <row r="17">
          <cell r="D17"/>
        </row>
        <row r="18">
          <cell r="D18"/>
        </row>
        <row r="19">
          <cell r="D19"/>
        </row>
        <row r="20">
          <cell r="D20"/>
        </row>
        <row r="21">
          <cell r="D21"/>
        </row>
        <row r="22">
          <cell r="D22"/>
        </row>
        <row r="23">
          <cell r="D23"/>
        </row>
        <row r="24">
          <cell r="D24"/>
        </row>
        <row r="25">
          <cell r="D25"/>
        </row>
        <row r="26">
          <cell r="D26"/>
        </row>
        <row r="27">
          <cell r="D27"/>
        </row>
        <row r="28">
          <cell r="D28"/>
        </row>
        <row r="29">
          <cell r="D29"/>
        </row>
        <row r="30">
          <cell r="D30"/>
        </row>
        <row r="31">
          <cell r="D31"/>
        </row>
        <row r="32">
          <cell r="D32"/>
        </row>
        <row r="33">
          <cell r="D33"/>
        </row>
        <row r="34">
          <cell r="D34"/>
        </row>
        <row r="35">
          <cell r="D35"/>
        </row>
        <row r="36">
          <cell r="D36"/>
        </row>
        <row r="37">
          <cell r="D37"/>
        </row>
        <row r="38">
          <cell r="D38"/>
        </row>
        <row r="39">
          <cell r="D39"/>
        </row>
        <row r="40">
          <cell r="D40"/>
        </row>
        <row r="41">
          <cell r="D41"/>
        </row>
        <row r="42">
          <cell r="D42"/>
        </row>
        <row r="43">
          <cell r="D43"/>
        </row>
        <row r="44">
          <cell r="D44"/>
        </row>
        <row r="45">
          <cell r="D45"/>
        </row>
        <row r="46">
          <cell r="D46"/>
        </row>
        <row r="47">
          <cell r="D47"/>
        </row>
        <row r="48">
          <cell r="D48"/>
        </row>
        <row r="49">
          <cell r="D49"/>
        </row>
        <row r="50">
          <cell r="D50"/>
        </row>
        <row r="51">
          <cell r="D51"/>
        </row>
        <row r="52">
          <cell r="D52"/>
        </row>
        <row r="53">
          <cell r="D53"/>
        </row>
        <row r="54">
          <cell r="D54"/>
        </row>
        <row r="55">
          <cell r="D55"/>
        </row>
        <row r="56">
          <cell r="D56"/>
        </row>
        <row r="57">
          <cell r="D57"/>
        </row>
        <row r="58">
          <cell r="D58"/>
        </row>
        <row r="59">
          <cell r="D59"/>
        </row>
        <row r="60">
          <cell r="D60"/>
        </row>
        <row r="61">
          <cell r="D61"/>
        </row>
        <row r="62">
          <cell r="D62"/>
        </row>
        <row r="63">
          <cell r="D63"/>
        </row>
        <row r="64">
          <cell r="D64"/>
        </row>
        <row r="65">
          <cell r="D65"/>
        </row>
        <row r="66">
          <cell r="D66"/>
        </row>
        <row r="67">
          <cell r="D67"/>
        </row>
        <row r="68">
          <cell r="D68"/>
        </row>
        <row r="69">
          <cell r="D69"/>
        </row>
        <row r="70">
          <cell r="D70"/>
        </row>
        <row r="71">
          <cell r="D71"/>
        </row>
        <row r="72">
          <cell r="D72"/>
        </row>
        <row r="73">
          <cell r="D73"/>
        </row>
        <row r="74">
          <cell r="D74"/>
        </row>
        <row r="75">
          <cell r="D75"/>
        </row>
        <row r="76">
          <cell r="D76"/>
        </row>
        <row r="77">
          <cell r="D77"/>
        </row>
        <row r="78">
          <cell r="D78"/>
        </row>
        <row r="79">
          <cell r="D79"/>
        </row>
        <row r="80">
          <cell r="D80"/>
        </row>
        <row r="81">
          <cell r="D81"/>
        </row>
        <row r="82">
          <cell r="D82"/>
        </row>
        <row r="83">
          <cell r="D83"/>
        </row>
        <row r="84">
          <cell r="D84"/>
        </row>
        <row r="85">
          <cell r="D85"/>
        </row>
        <row r="86">
          <cell r="D86"/>
        </row>
        <row r="87">
          <cell r="D87"/>
        </row>
        <row r="88">
          <cell r="D88"/>
        </row>
        <row r="89">
          <cell r="D89"/>
        </row>
        <row r="90">
          <cell r="D90"/>
        </row>
        <row r="91">
          <cell r="D91"/>
        </row>
        <row r="92">
          <cell r="D92"/>
        </row>
        <row r="93">
          <cell r="D93"/>
        </row>
        <row r="94">
          <cell r="D94"/>
        </row>
        <row r="95">
          <cell r="D95"/>
        </row>
        <row r="96">
          <cell r="D96"/>
        </row>
        <row r="97">
          <cell r="D97"/>
        </row>
        <row r="98">
          <cell r="D98"/>
        </row>
        <row r="99">
          <cell r="D99"/>
        </row>
        <row r="100">
          <cell r="D100"/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UDUCHEAU Lola" refreshedDate="45966.63952060185" createdVersion="8" refreshedVersion="8" minRefreshableVersion="3" recordCount="199" xr:uid="{EEED6797-CF0E-4FE6-AF01-89D472B0F41D}">
  <cacheSource type="worksheet">
    <worksheetSource name="TableRaw"/>
  </cacheSource>
  <cacheFields count="8">
    <cacheField name="Tâche" numFmtId="0">
      <sharedItems containsNonDate="0" containsString="0" containsBlank="1" count="1">
        <m/>
      </sharedItems>
    </cacheField>
    <cacheField name="Début (valeur Excel date+heure" numFmtId="0">
      <sharedItems containsNonDate="0" containsString="0" containsBlank="1"/>
    </cacheField>
    <cacheField name="Fin (valeur Excel date+heure)" numFmtId="0">
      <sharedItems containsNonDate="0" containsString="0" containsBlank="1"/>
    </cacheField>
    <cacheField name="Durée (peut être texte ou valeur)" numFmtId="0">
      <sharedItems containsNonDate="0" containsString="0" containsBlank="1"/>
    </cacheField>
    <cacheField name="VA/NVA" numFmtId="0">
      <sharedItems containsNonDate="0" containsString="0" containsBlank="1"/>
    </cacheField>
    <cacheField name="Durée (jours)" numFmtId="0">
      <sharedItems count="1">
        <s v=""/>
      </sharedItems>
    </cacheField>
    <cacheField name="Durée (ms)" numFmtId="164">
      <sharedItems/>
    </cacheField>
    <cacheField name="Durée (affichage)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9"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  <r>
    <x v="0"/>
    <m/>
    <m/>
    <m/>
    <m/>
    <x v="0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BE52AF-34F3-44DA-9999-46BD60685536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5" firstHeaderRow="1" firstDataRow="1" firstDataCol="1"/>
  <pivotFields count="8"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dataField="1" showAll="0">
      <items count="2">
        <item x="0"/>
        <item t="default"/>
      </items>
    </pivotField>
    <pivotField showAll="0"/>
    <pivotField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Somme de Durée (jours)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06F2C5-E2A4-472A-A159-81EEE54C24DB}" name="TableRaw" displayName="TableRaw" ref="A1:H200" totalsRowShown="0">
  <autoFilter ref="A1:H200" xr:uid="{CC06F2C5-E2A4-472A-A159-81EEE54C24DB}"/>
  <tableColumns count="8">
    <tableColumn id="1" xr3:uid="{36F4E5C7-C9AD-477E-836A-7EC9C1E5F5C2}" name="Tâche"/>
    <tableColumn id="2" xr3:uid="{5D82B2A6-E46B-4DD9-8367-94DE63E019F6}" name="Début (valeur Excel date+heure"/>
    <tableColumn id="3" xr3:uid="{AD77BDF4-D552-422F-A5DB-75BA1A879FFA}" name="Fin (valeur Excel date+heure)"/>
    <tableColumn id="4" xr3:uid="{BA31084A-5920-41D7-BF2E-D0B8836FB771}" name="Durée (peut être texte ou valeur)" dataDxfId="0">
      <calculatedColumnFormula>(C2-B2)</calculatedColumnFormula>
    </tableColumn>
    <tableColumn id="5" xr3:uid="{CE0CD001-58CA-47EE-A2FD-9DDD9441B668}" name="VA/NVA"/>
    <tableColumn id="6" xr3:uid="{B71CADA4-38F2-4FEE-8102-35158BD92733}" name="Durée (jours)" dataDxfId="11">
      <calculatedColumnFormula>IF(AND(B2&lt;&gt;"",C2&lt;&gt;""),C2-B2,"")</calculatedColumnFormula>
    </tableColumn>
    <tableColumn id="7" xr3:uid="{84FFCF15-EE45-4484-9503-C9F32AFAAC6C}" name="Durée (ms)" dataDxfId="10">
      <calculatedColumnFormula>IF(AND(B2&lt;&gt;"",C2&lt;&gt;""),C2-B2,"")</calculatedColumnFormula>
    </tableColumn>
    <tableColumn id="8" xr3:uid="{085153DF-BC56-4F3C-88F5-056E13E55BAF}" name="Durée (affichage)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3784D2-8AE6-4C5A-8E4D-CA1B904EFFC5}" name="Tableau5" displayName="Tableau5" ref="A1:H200" totalsRowShown="0">
  <autoFilter ref="A1:H200" xr:uid="{F13784D2-8AE6-4C5A-8E4D-CA1B904EFFC5}"/>
  <tableColumns count="8">
    <tableColumn id="1" xr3:uid="{1E4A0DCE-4F01-4D90-9041-0CA1A039F98D}" name="Tâche" dataDxfId="9">
      <calculatedColumnFormula array="1">_xlfn.UNIQUE(TableRaw[Tâche])</calculatedColumnFormula>
    </tableColumn>
    <tableColumn id="2" xr3:uid="{A2C3D671-E00C-436D-8118-37C1ABBFBAF4}" name="Occurrences" dataDxfId="8">
      <calculatedColumnFormula>COUNTIF(TableRaw[Tâche], A2)</calculatedColumnFormula>
    </tableColumn>
    <tableColumn id="3" xr3:uid="{EF0E5F4F-97C7-4792-A47E-9DEA80F91F82}" name="Temps total" dataDxfId="7">
      <calculatedColumnFormula>SUMIF(TableRaw[Tâche], A2, TableRaw[Durée (jours)])</calculatedColumnFormula>
    </tableColumn>
    <tableColumn id="4" xr3:uid="{7CEEF28F-92BD-4603-B501-364D5052FDCD}" name="Temps moyen" dataDxfId="6">
      <calculatedColumnFormula>IF(B2=0,"",C2/B2)</calculatedColumnFormula>
    </tableColumn>
    <tableColumn id="5" xr3:uid="{DC432A1F-B490-4482-8F6E-D01688363439}" name="Temps min" dataDxfId="5">
      <calculatedColumnFormula array="1">IFERROR(MIN(IF(TableRaw[Tâche]=A2,TableRaw[Durée (jours)])),"")</calculatedColumnFormula>
    </tableColumn>
    <tableColumn id="6" xr3:uid="{2CA7E18F-F0B1-4824-A5F3-712E3F28B55F}" name="Temps max" dataDxfId="4">
      <calculatedColumnFormula array="1">IFERROR(LARGE(IF(TableRaw[Tâche]=A2,TableRaw[Durée (jours)]),1),"")</calculatedColumnFormula>
    </tableColumn>
    <tableColumn id="7" xr3:uid="{B45871F3-F27D-44F3-95CE-531A6B67BE97}" name="% du temps total" dataDxfId="3">
      <calculatedColumnFormula>IF($H$2=0,"",C2 / $H$2)</calculatedColumnFormula>
    </tableColumn>
    <tableColumn id="8" xr3:uid="{41C1C735-FA47-40A8-A10A-8ED90EE487B6}" name="Total session (jours)" dataDxfId="2">
      <calculatedColumnFormula>SUM(TableRaw[Durée (jours)])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A_NVA_DATATable" displayName="VA_NVA_DATATable" ref="A1:E100">
  <autoFilter ref="A1:E100" xr:uid="{00000000-0009-0000-0100-000001000000}"/>
  <tableColumns count="5">
    <tableColumn id="1" xr3:uid="{00000000-0010-0000-0000-000001000000}" name="Tâche"/>
    <tableColumn id="2" xr3:uid="{00000000-0010-0000-0000-000002000000}" name="Début"/>
    <tableColumn id="3" xr3:uid="{00000000-0010-0000-0000-000003000000}" name="Fin"/>
    <tableColumn id="4" xr3:uid="{BED66CE7-4585-4048-A3FF-D5E4025BDA4B}" name="Durée" dataDxfId="1">
      <calculatedColumnFormula>IF(AND(B2&lt;&gt;"",C2&lt;&gt;""),C2-B2,"")</calculatedColumnFormula>
    </tableColumn>
    <tableColumn id="5" xr3:uid="{6671B2A2-1F41-4601-BCBB-7B19829987AF}" name="VA/NV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629A8-C325-4B13-B500-EEAE750D43D0}">
  <dimension ref="A1:H200"/>
  <sheetViews>
    <sheetView tabSelected="1" workbookViewId="0">
      <selection activeCell="G14" sqref="G14"/>
    </sheetView>
  </sheetViews>
  <sheetFormatPr baseColWidth="10" defaultRowHeight="14.5" x14ac:dyDescent="0.35"/>
  <cols>
    <col min="2" max="2" width="29.08984375" customWidth="1"/>
    <col min="3" max="3" width="27" customWidth="1"/>
    <col min="4" max="4" width="30.54296875" style="1" customWidth="1"/>
    <col min="6" max="6" width="14.7265625" customWidth="1"/>
    <col min="7" max="7" width="13.36328125" customWidth="1"/>
    <col min="8" max="8" width="17.453125" customWidth="1"/>
  </cols>
  <sheetData>
    <row r="1" spans="1:8" x14ac:dyDescent="0.35">
      <c r="A1" t="s">
        <v>0</v>
      </c>
      <c r="B1" t="s">
        <v>11</v>
      </c>
      <c r="C1" t="s">
        <v>12</v>
      </c>
      <c r="D1" s="1" t="s">
        <v>13</v>
      </c>
      <c r="E1" t="s">
        <v>4</v>
      </c>
      <c r="F1" t="s">
        <v>14</v>
      </c>
      <c r="G1" t="s">
        <v>15</v>
      </c>
      <c r="H1" t="s">
        <v>16</v>
      </c>
    </row>
    <row r="2" spans="1:8" x14ac:dyDescent="0.35">
      <c r="D2" s="1">
        <f t="shared" ref="D2:D33" si="0">(C2-B2)</f>
        <v>0</v>
      </c>
      <c r="F2" t="str">
        <f t="shared" ref="F2:F33" si="1">IF(AND(B2&lt;&gt;"",C2&lt;&gt;""),C2-B2,"")</f>
        <v/>
      </c>
      <c r="G2" s="1" t="str">
        <f t="shared" ref="G2:G65" si="2">IF(AND(B2&lt;&gt;"",C2&lt;&gt;""),C2-B2,"")</f>
        <v/>
      </c>
    </row>
    <row r="3" spans="1:8" x14ac:dyDescent="0.35">
      <c r="D3" s="1">
        <f t="shared" si="0"/>
        <v>0</v>
      </c>
      <c r="F3" t="str">
        <f t="shared" si="1"/>
        <v/>
      </c>
      <c r="G3" s="1" t="str">
        <f t="shared" si="2"/>
        <v/>
      </c>
    </row>
    <row r="4" spans="1:8" x14ac:dyDescent="0.35">
      <c r="D4" s="1">
        <f t="shared" si="0"/>
        <v>0</v>
      </c>
      <c r="F4" t="str">
        <f t="shared" si="1"/>
        <v/>
      </c>
      <c r="G4" s="1" t="str">
        <f t="shared" si="2"/>
        <v/>
      </c>
    </row>
    <row r="5" spans="1:8" x14ac:dyDescent="0.35">
      <c r="D5" s="1">
        <f t="shared" si="0"/>
        <v>0</v>
      </c>
      <c r="F5" t="str">
        <f t="shared" si="1"/>
        <v/>
      </c>
      <c r="G5" s="1" t="str">
        <f t="shared" si="2"/>
        <v/>
      </c>
    </row>
    <row r="6" spans="1:8" x14ac:dyDescent="0.35">
      <c r="D6" s="1">
        <f t="shared" si="0"/>
        <v>0</v>
      </c>
      <c r="F6" t="str">
        <f t="shared" si="1"/>
        <v/>
      </c>
      <c r="G6" s="1" t="str">
        <f t="shared" si="2"/>
        <v/>
      </c>
    </row>
    <row r="7" spans="1:8" x14ac:dyDescent="0.35">
      <c r="D7" s="1">
        <f t="shared" si="0"/>
        <v>0</v>
      </c>
      <c r="F7" t="str">
        <f t="shared" si="1"/>
        <v/>
      </c>
      <c r="G7" s="1" t="str">
        <f t="shared" si="2"/>
        <v/>
      </c>
    </row>
    <row r="8" spans="1:8" x14ac:dyDescent="0.35">
      <c r="D8" s="1">
        <f t="shared" si="0"/>
        <v>0</v>
      </c>
      <c r="F8" t="str">
        <f t="shared" si="1"/>
        <v/>
      </c>
      <c r="G8" s="1" t="str">
        <f t="shared" si="2"/>
        <v/>
      </c>
    </row>
    <row r="9" spans="1:8" x14ac:dyDescent="0.35">
      <c r="D9" s="1">
        <f t="shared" si="0"/>
        <v>0</v>
      </c>
      <c r="F9" t="str">
        <f t="shared" si="1"/>
        <v/>
      </c>
      <c r="G9" s="1" t="str">
        <f t="shared" si="2"/>
        <v/>
      </c>
    </row>
    <row r="10" spans="1:8" x14ac:dyDescent="0.35">
      <c r="D10" s="1">
        <f t="shared" si="0"/>
        <v>0</v>
      </c>
      <c r="F10" t="str">
        <f t="shared" si="1"/>
        <v/>
      </c>
      <c r="G10" s="1" t="str">
        <f t="shared" si="2"/>
        <v/>
      </c>
    </row>
    <row r="11" spans="1:8" x14ac:dyDescent="0.35">
      <c r="D11" s="1">
        <f t="shared" si="0"/>
        <v>0</v>
      </c>
      <c r="F11" t="str">
        <f t="shared" si="1"/>
        <v/>
      </c>
      <c r="G11" s="1" t="str">
        <f t="shared" si="2"/>
        <v/>
      </c>
    </row>
    <row r="12" spans="1:8" x14ac:dyDescent="0.35">
      <c r="D12" s="1">
        <f t="shared" si="0"/>
        <v>0</v>
      </c>
      <c r="F12" t="str">
        <f t="shared" si="1"/>
        <v/>
      </c>
      <c r="G12" s="1" t="str">
        <f t="shared" si="2"/>
        <v/>
      </c>
    </row>
    <row r="13" spans="1:8" x14ac:dyDescent="0.35">
      <c r="D13" s="1">
        <f t="shared" si="0"/>
        <v>0</v>
      </c>
      <c r="F13" t="str">
        <f t="shared" si="1"/>
        <v/>
      </c>
      <c r="G13" s="1" t="str">
        <f t="shared" si="2"/>
        <v/>
      </c>
    </row>
    <row r="14" spans="1:8" x14ac:dyDescent="0.35">
      <c r="D14" s="1">
        <f t="shared" si="0"/>
        <v>0</v>
      </c>
      <c r="F14" t="str">
        <f t="shared" si="1"/>
        <v/>
      </c>
      <c r="G14" s="1" t="str">
        <f t="shared" si="2"/>
        <v/>
      </c>
    </row>
    <row r="15" spans="1:8" x14ac:dyDescent="0.35">
      <c r="D15" s="1">
        <f t="shared" si="0"/>
        <v>0</v>
      </c>
      <c r="F15" t="str">
        <f t="shared" si="1"/>
        <v/>
      </c>
      <c r="G15" s="1" t="str">
        <f t="shared" si="2"/>
        <v/>
      </c>
    </row>
    <row r="16" spans="1:8" x14ac:dyDescent="0.35">
      <c r="D16" s="1">
        <f t="shared" si="0"/>
        <v>0</v>
      </c>
      <c r="F16" t="str">
        <f t="shared" si="1"/>
        <v/>
      </c>
      <c r="G16" s="1" t="str">
        <f t="shared" si="2"/>
        <v/>
      </c>
    </row>
    <row r="17" spans="4:7" x14ac:dyDescent="0.35">
      <c r="D17" s="1">
        <f t="shared" si="0"/>
        <v>0</v>
      </c>
      <c r="F17" t="str">
        <f t="shared" si="1"/>
        <v/>
      </c>
      <c r="G17" s="1" t="str">
        <f t="shared" si="2"/>
        <v/>
      </c>
    </row>
    <row r="18" spans="4:7" x14ac:dyDescent="0.35">
      <c r="D18" s="1">
        <f t="shared" si="0"/>
        <v>0</v>
      </c>
      <c r="F18" t="str">
        <f t="shared" si="1"/>
        <v/>
      </c>
      <c r="G18" s="1" t="str">
        <f t="shared" si="2"/>
        <v/>
      </c>
    </row>
    <row r="19" spans="4:7" x14ac:dyDescent="0.35">
      <c r="D19" s="1">
        <f t="shared" si="0"/>
        <v>0</v>
      </c>
      <c r="F19" t="str">
        <f t="shared" si="1"/>
        <v/>
      </c>
      <c r="G19" s="1" t="str">
        <f t="shared" si="2"/>
        <v/>
      </c>
    </row>
    <row r="20" spans="4:7" x14ac:dyDescent="0.35">
      <c r="D20" s="1">
        <f t="shared" si="0"/>
        <v>0</v>
      </c>
      <c r="F20" t="str">
        <f t="shared" si="1"/>
        <v/>
      </c>
      <c r="G20" s="1" t="str">
        <f t="shared" si="2"/>
        <v/>
      </c>
    </row>
    <row r="21" spans="4:7" x14ac:dyDescent="0.35">
      <c r="D21" s="1">
        <f t="shared" si="0"/>
        <v>0</v>
      </c>
      <c r="F21" t="str">
        <f t="shared" si="1"/>
        <v/>
      </c>
      <c r="G21" s="1" t="str">
        <f t="shared" si="2"/>
        <v/>
      </c>
    </row>
    <row r="22" spans="4:7" x14ac:dyDescent="0.35">
      <c r="D22" s="1">
        <f t="shared" si="0"/>
        <v>0</v>
      </c>
      <c r="F22" t="str">
        <f t="shared" si="1"/>
        <v/>
      </c>
      <c r="G22" s="1" t="str">
        <f t="shared" si="2"/>
        <v/>
      </c>
    </row>
    <row r="23" spans="4:7" x14ac:dyDescent="0.35">
      <c r="D23" s="1">
        <f t="shared" si="0"/>
        <v>0</v>
      </c>
      <c r="F23" t="str">
        <f t="shared" si="1"/>
        <v/>
      </c>
      <c r="G23" s="1" t="str">
        <f t="shared" si="2"/>
        <v/>
      </c>
    </row>
    <row r="24" spans="4:7" x14ac:dyDescent="0.35">
      <c r="D24" s="1">
        <f t="shared" si="0"/>
        <v>0</v>
      </c>
      <c r="F24" t="str">
        <f t="shared" si="1"/>
        <v/>
      </c>
      <c r="G24" s="1" t="str">
        <f t="shared" si="2"/>
        <v/>
      </c>
    </row>
    <row r="25" spans="4:7" x14ac:dyDescent="0.35">
      <c r="D25" s="1">
        <f t="shared" si="0"/>
        <v>0</v>
      </c>
      <c r="F25" t="str">
        <f t="shared" si="1"/>
        <v/>
      </c>
      <c r="G25" s="1" t="str">
        <f t="shared" si="2"/>
        <v/>
      </c>
    </row>
    <row r="26" spans="4:7" x14ac:dyDescent="0.35">
      <c r="D26" s="1">
        <f t="shared" si="0"/>
        <v>0</v>
      </c>
      <c r="F26" t="str">
        <f t="shared" si="1"/>
        <v/>
      </c>
      <c r="G26" s="1" t="str">
        <f t="shared" si="2"/>
        <v/>
      </c>
    </row>
    <row r="27" spans="4:7" x14ac:dyDescent="0.35">
      <c r="D27" s="1">
        <f t="shared" si="0"/>
        <v>0</v>
      </c>
      <c r="F27" t="str">
        <f t="shared" si="1"/>
        <v/>
      </c>
      <c r="G27" s="1" t="str">
        <f t="shared" si="2"/>
        <v/>
      </c>
    </row>
    <row r="28" spans="4:7" x14ac:dyDescent="0.35">
      <c r="D28" s="1">
        <f t="shared" si="0"/>
        <v>0</v>
      </c>
      <c r="F28" t="str">
        <f t="shared" si="1"/>
        <v/>
      </c>
      <c r="G28" s="1" t="str">
        <f t="shared" si="2"/>
        <v/>
      </c>
    </row>
    <row r="29" spans="4:7" x14ac:dyDescent="0.35">
      <c r="D29" s="1">
        <f t="shared" si="0"/>
        <v>0</v>
      </c>
      <c r="F29" t="str">
        <f t="shared" si="1"/>
        <v/>
      </c>
      <c r="G29" s="1" t="str">
        <f t="shared" si="2"/>
        <v/>
      </c>
    </row>
    <row r="30" spans="4:7" x14ac:dyDescent="0.35">
      <c r="D30" s="1">
        <f t="shared" si="0"/>
        <v>0</v>
      </c>
      <c r="F30" t="str">
        <f t="shared" si="1"/>
        <v/>
      </c>
      <c r="G30" s="1" t="str">
        <f t="shared" si="2"/>
        <v/>
      </c>
    </row>
    <row r="31" spans="4:7" x14ac:dyDescent="0.35">
      <c r="D31" s="1">
        <f t="shared" si="0"/>
        <v>0</v>
      </c>
      <c r="F31" t="str">
        <f t="shared" si="1"/>
        <v/>
      </c>
      <c r="G31" s="1" t="str">
        <f t="shared" si="2"/>
        <v/>
      </c>
    </row>
    <row r="32" spans="4:7" x14ac:dyDescent="0.35">
      <c r="D32" s="1">
        <f t="shared" si="0"/>
        <v>0</v>
      </c>
      <c r="F32" t="str">
        <f t="shared" si="1"/>
        <v/>
      </c>
      <c r="G32" s="1" t="str">
        <f t="shared" si="2"/>
        <v/>
      </c>
    </row>
    <row r="33" spans="4:7" x14ac:dyDescent="0.35">
      <c r="D33" s="1">
        <f t="shared" si="0"/>
        <v>0</v>
      </c>
      <c r="F33" t="str">
        <f t="shared" si="1"/>
        <v/>
      </c>
      <c r="G33" s="1" t="str">
        <f t="shared" si="2"/>
        <v/>
      </c>
    </row>
    <row r="34" spans="4:7" x14ac:dyDescent="0.35">
      <c r="D34" s="1">
        <f t="shared" ref="D34:D65" si="3">(C34-B34)</f>
        <v>0</v>
      </c>
      <c r="F34" t="str">
        <f t="shared" ref="F34:F65" si="4">IF(AND(B34&lt;&gt;"",C34&lt;&gt;""),C34-B34,"")</f>
        <v/>
      </c>
      <c r="G34" s="1" t="str">
        <f t="shared" si="2"/>
        <v/>
      </c>
    </row>
    <row r="35" spans="4:7" x14ac:dyDescent="0.35">
      <c r="D35" s="1">
        <f t="shared" si="3"/>
        <v>0</v>
      </c>
      <c r="F35" t="str">
        <f t="shared" si="4"/>
        <v/>
      </c>
      <c r="G35" s="1" t="str">
        <f t="shared" si="2"/>
        <v/>
      </c>
    </row>
    <row r="36" spans="4:7" x14ac:dyDescent="0.35">
      <c r="D36" s="1">
        <f t="shared" si="3"/>
        <v>0</v>
      </c>
      <c r="F36" t="str">
        <f t="shared" si="4"/>
        <v/>
      </c>
      <c r="G36" s="1" t="str">
        <f t="shared" si="2"/>
        <v/>
      </c>
    </row>
    <row r="37" spans="4:7" x14ac:dyDescent="0.35">
      <c r="D37" s="1">
        <f t="shared" si="3"/>
        <v>0</v>
      </c>
      <c r="F37" t="str">
        <f t="shared" si="4"/>
        <v/>
      </c>
      <c r="G37" s="1" t="str">
        <f t="shared" si="2"/>
        <v/>
      </c>
    </row>
    <row r="38" spans="4:7" x14ac:dyDescent="0.35">
      <c r="D38" s="1">
        <f t="shared" si="3"/>
        <v>0</v>
      </c>
      <c r="F38" t="str">
        <f t="shared" si="4"/>
        <v/>
      </c>
      <c r="G38" s="1" t="str">
        <f t="shared" si="2"/>
        <v/>
      </c>
    </row>
    <row r="39" spans="4:7" x14ac:dyDescent="0.35">
      <c r="D39" s="1">
        <f t="shared" si="3"/>
        <v>0</v>
      </c>
      <c r="F39" t="str">
        <f t="shared" si="4"/>
        <v/>
      </c>
      <c r="G39" s="1" t="str">
        <f t="shared" si="2"/>
        <v/>
      </c>
    </row>
    <row r="40" spans="4:7" x14ac:dyDescent="0.35">
      <c r="D40" s="1">
        <f t="shared" si="3"/>
        <v>0</v>
      </c>
      <c r="F40" t="str">
        <f t="shared" si="4"/>
        <v/>
      </c>
      <c r="G40" s="1" t="str">
        <f t="shared" si="2"/>
        <v/>
      </c>
    </row>
    <row r="41" spans="4:7" x14ac:dyDescent="0.35">
      <c r="D41" s="1">
        <f t="shared" si="3"/>
        <v>0</v>
      </c>
      <c r="F41" t="str">
        <f t="shared" si="4"/>
        <v/>
      </c>
      <c r="G41" s="1" t="str">
        <f t="shared" si="2"/>
        <v/>
      </c>
    </row>
    <row r="42" spans="4:7" x14ac:dyDescent="0.35">
      <c r="D42" s="1">
        <f t="shared" si="3"/>
        <v>0</v>
      </c>
      <c r="F42" t="str">
        <f t="shared" si="4"/>
        <v/>
      </c>
      <c r="G42" s="1" t="str">
        <f t="shared" si="2"/>
        <v/>
      </c>
    </row>
    <row r="43" spans="4:7" x14ac:dyDescent="0.35">
      <c r="D43" s="1">
        <f t="shared" si="3"/>
        <v>0</v>
      </c>
      <c r="F43" t="str">
        <f t="shared" si="4"/>
        <v/>
      </c>
      <c r="G43" s="1" t="str">
        <f t="shared" si="2"/>
        <v/>
      </c>
    </row>
    <row r="44" spans="4:7" x14ac:dyDescent="0.35">
      <c r="D44" s="1">
        <f t="shared" si="3"/>
        <v>0</v>
      </c>
      <c r="F44" t="str">
        <f t="shared" si="4"/>
        <v/>
      </c>
      <c r="G44" s="1" t="str">
        <f t="shared" si="2"/>
        <v/>
      </c>
    </row>
    <row r="45" spans="4:7" x14ac:dyDescent="0.35">
      <c r="D45" s="1">
        <f t="shared" si="3"/>
        <v>0</v>
      </c>
      <c r="F45" t="str">
        <f t="shared" si="4"/>
        <v/>
      </c>
      <c r="G45" s="1" t="str">
        <f t="shared" si="2"/>
        <v/>
      </c>
    </row>
    <row r="46" spans="4:7" x14ac:dyDescent="0.35">
      <c r="D46" s="1">
        <f t="shared" si="3"/>
        <v>0</v>
      </c>
      <c r="F46" t="str">
        <f t="shared" si="4"/>
        <v/>
      </c>
      <c r="G46" s="1" t="str">
        <f t="shared" si="2"/>
        <v/>
      </c>
    </row>
    <row r="47" spans="4:7" x14ac:dyDescent="0.35">
      <c r="D47" s="1">
        <f t="shared" si="3"/>
        <v>0</v>
      </c>
      <c r="F47" t="str">
        <f t="shared" si="4"/>
        <v/>
      </c>
      <c r="G47" s="1" t="str">
        <f t="shared" si="2"/>
        <v/>
      </c>
    </row>
    <row r="48" spans="4:7" x14ac:dyDescent="0.35">
      <c r="D48" s="1">
        <f t="shared" si="3"/>
        <v>0</v>
      </c>
      <c r="F48" t="str">
        <f t="shared" si="4"/>
        <v/>
      </c>
      <c r="G48" s="1" t="str">
        <f t="shared" si="2"/>
        <v/>
      </c>
    </row>
    <row r="49" spans="4:7" x14ac:dyDescent="0.35">
      <c r="D49" s="1">
        <f t="shared" si="3"/>
        <v>0</v>
      </c>
      <c r="F49" t="str">
        <f t="shared" si="4"/>
        <v/>
      </c>
      <c r="G49" s="1" t="str">
        <f t="shared" si="2"/>
        <v/>
      </c>
    </row>
    <row r="50" spans="4:7" x14ac:dyDescent="0.35">
      <c r="D50" s="1">
        <f t="shared" si="3"/>
        <v>0</v>
      </c>
      <c r="F50" t="str">
        <f t="shared" si="4"/>
        <v/>
      </c>
      <c r="G50" s="1" t="str">
        <f t="shared" si="2"/>
        <v/>
      </c>
    </row>
    <row r="51" spans="4:7" x14ac:dyDescent="0.35">
      <c r="D51" s="1">
        <f t="shared" si="3"/>
        <v>0</v>
      </c>
      <c r="F51" t="str">
        <f t="shared" si="4"/>
        <v/>
      </c>
      <c r="G51" s="1" t="str">
        <f t="shared" si="2"/>
        <v/>
      </c>
    </row>
    <row r="52" spans="4:7" x14ac:dyDescent="0.35">
      <c r="D52" s="1">
        <f t="shared" si="3"/>
        <v>0</v>
      </c>
      <c r="F52" t="str">
        <f t="shared" si="4"/>
        <v/>
      </c>
      <c r="G52" s="1" t="str">
        <f t="shared" si="2"/>
        <v/>
      </c>
    </row>
    <row r="53" spans="4:7" x14ac:dyDescent="0.35">
      <c r="D53" s="1">
        <f t="shared" si="3"/>
        <v>0</v>
      </c>
      <c r="F53" t="str">
        <f t="shared" si="4"/>
        <v/>
      </c>
      <c r="G53" s="1" t="str">
        <f t="shared" si="2"/>
        <v/>
      </c>
    </row>
    <row r="54" spans="4:7" x14ac:dyDescent="0.35">
      <c r="D54" s="1">
        <f t="shared" si="3"/>
        <v>0</v>
      </c>
      <c r="F54" t="str">
        <f t="shared" si="4"/>
        <v/>
      </c>
      <c r="G54" s="1" t="str">
        <f t="shared" si="2"/>
        <v/>
      </c>
    </row>
    <row r="55" spans="4:7" x14ac:dyDescent="0.35">
      <c r="D55" s="1">
        <f t="shared" si="3"/>
        <v>0</v>
      </c>
      <c r="F55" t="str">
        <f t="shared" si="4"/>
        <v/>
      </c>
      <c r="G55" s="1" t="str">
        <f t="shared" si="2"/>
        <v/>
      </c>
    </row>
    <row r="56" spans="4:7" x14ac:dyDescent="0.35">
      <c r="D56" s="1">
        <f t="shared" si="3"/>
        <v>0</v>
      </c>
      <c r="F56" t="str">
        <f t="shared" si="4"/>
        <v/>
      </c>
      <c r="G56" s="1" t="str">
        <f t="shared" si="2"/>
        <v/>
      </c>
    </row>
    <row r="57" spans="4:7" x14ac:dyDescent="0.35">
      <c r="D57" s="1">
        <f t="shared" si="3"/>
        <v>0</v>
      </c>
      <c r="F57" t="str">
        <f t="shared" si="4"/>
        <v/>
      </c>
      <c r="G57" s="1" t="str">
        <f t="shared" si="2"/>
        <v/>
      </c>
    </row>
    <row r="58" spans="4:7" x14ac:dyDescent="0.35">
      <c r="D58" s="1">
        <f t="shared" si="3"/>
        <v>0</v>
      </c>
      <c r="F58" t="str">
        <f t="shared" si="4"/>
        <v/>
      </c>
      <c r="G58" s="1" t="str">
        <f t="shared" si="2"/>
        <v/>
      </c>
    </row>
    <row r="59" spans="4:7" x14ac:dyDescent="0.35">
      <c r="D59" s="1">
        <f t="shared" si="3"/>
        <v>0</v>
      </c>
      <c r="F59" t="str">
        <f t="shared" si="4"/>
        <v/>
      </c>
      <c r="G59" s="1" t="str">
        <f t="shared" si="2"/>
        <v/>
      </c>
    </row>
    <row r="60" spans="4:7" x14ac:dyDescent="0.35">
      <c r="D60" s="1">
        <f t="shared" si="3"/>
        <v>0</v>
      </c>
      <c r="F60" t="str">
        <f t="shared" si="4"/>
        <v/>
      </c>
      <c r="G60" s="1" t="str">
        <f t="shared" si="2"/>
        <v/>
      </c>
    </row>
    <row r="61" spans="4:7" x14ac:dyDescent="0.35">
      <c r="D61" s="1">
        <f t="shared" si="3"/>
        <v>0</v>
      </c>
      <c r="F61" t="str">
        <f t="shared" si="4"/>
        <v/>
      </c>
      <c r="G61" s="1" t="str">
        <f t="shared" si="2"/>
        <v/>
      </c>
    </row>
    <row r="62" spans="4:7" x14ac:dyDescent="0.35">
      <c r="D62" s="1">
        <f t="shared" si="3"/>
        <v>0</v>
      </c>
      <c r="F62" t="str">
        <f t="shared" si="4"/>
        <v/>
      </c>
      <c r="G62" s="1" t="str">
        <f t="shared" si="2"/>
        <v/>
      </c>
    </row>
    <row r="63" spans="4:7" x14ac:dyDescent="0.35">
      <c r="D63" s="1">
        <f t="shared" si="3"/>
        <v>0</v>
      </c>
      <c r="F63" t="str">
        <f t="shared" si="4"/>
        <v/>
      </c>
      <c r="G63" s="1" t="str">
        <f t="shared" si="2"/>
        <v/>
      </c>
    </row>
    <row r="64" spans="4:7" x14ac:dyDescent="0.35">
      <c r="D64" s="1">
        <f t="shared" si="3"/>
        <v>0</v>
      </c>
      <c r="F64" t="str">
        <f t="shared" si="4"/>
        <v/>
      </c>
      <c r="G64" s="1" t="str">
        <f t="shared" si="2"/>
        <v/>
      </c>
    </row>
    <row r="65" spans="4:7" x14ac:dyDescent="0.35">
      <c r="D65" s="1">
        <f t="shared" si="3"/>
        <v>0</v>
      </c>
      <c r="F65" t="str">
        <f t="shared" si="4"/>
        <v/>
      </c>
      <c r="G65" s="1" t="str">
        <f t="shared" si="2"/>
        <v/>
      </c>
    </row>
    <row r="66" spans="4:7" x14ac:dyDescent="0.35">
      <c r="D66" s="1">
        <f t="shared" ref="D66:D97" si="5">(C66-B66)</f>
        <v>0</v>
      </c>
      <c r="F66" t="str">
        <f t="shared" ref="F66:F97" si="6">IF(AND(B66&lt;&gt;"",C66&lt;&gt;""),C66-B66,"")</f>
        <v/>
      </c>
      <c r="G66" s="1" t="str">
        <f t="shared" ref="G66:G129" si="7">IF(AND(B66&lt;&gt;"",C66&lt;&gt;""),C66-B66,"")</f>
        <v/>
      </c>
    </row>
    <row r="67" spans="4:7" x14ac:dyDescent="0.35">
      <c r="D67" s="1">
        <f t="shared" si="5"/>
        <v>0</v>
      </c>
      <c r="F67" t="str">
        <f t="shared" si="6"/>
        <v/>
      </c>
      <c r="G67" s="1" t="str">
        <f t="shared" si="7"/>
        <v/>
      </c>
    </row>
    <row r="68" spans="4:7" x14ac:dyDescent="0.35">
      <c r="D68" s="1">
        <f t="shared" si="5"/>
        <v>0</v>
      </c>
      <c r="F68" t="str">
        <f t="shared" si="6"/>
        <v/>
      </c>
      <c r="G68" s="1" t="str">
        <f t="shared" si="7"/>
        <v/>
      </c>
    </row>
    <row r="69" spans="4:7" x14ac:dyDescent="0.35">
      <c r="D69" s="1">
        <f t="shared" si="5"/>
        <v>0</v>
      </c>
      <c r="F69" t="str">
        <f t="shared" si="6"/>
        <v/>
      </c>
      <c r="G69" s="1" t="str">
        <f t="shared" si="7"/>
        <v/>
      </c>
    </row>
    <row r="70" spans="4:7" x14ac:dyDescent="0.35">
      <c r="D70" s="1">
        <f t="shared" si="5"/>
        <v>0</v>
      </c>
      <c r="F70" t="str">
        <f t="shared" si="6"/>
        <v/>
      </c>
      <c r="G70" s="1" t="str">
        <f t="shared" si="7"/>
        <v/>
      </c>
    </row>
    <row r="71" spans="4:7" x14ac:dyDescent="0.35">
      <c r="D71" s="1">
        <f t="shared" si="5"/>
        <v>0</v>
      </c>
      <c r="F71" t="str">
        <f t="shared" si="6"/>
        <v/>
      </c>
      <c r="G71" s="1" t="str">
        <f t="shared" si="7"/>
        <v/>
      </c>
    </row>
    <row r="72" spans="4:7" x14ac:dyDescent="0.35">
      <c r="D72" s="1">
        <f t="shared" si="5"/>
        <v>0</v>
      </c>
      <c r="F72" t="str">
        <f t="shared" si="6"/>
        <v/>
      </c>
      <c r="G72" s="1" t="str">
        <f t="shared" si="7"/>
        <v/>
      </c>
    </row>
    <row r="73" spans="4:7" x14ac:dyDescent="0.35">
      <c r="D73" s="1">
        <f t="shared" si="5"/>
        <v>0</v>
      </c>
      <c r="F73" t="str">
        <f t="shared" si="6"/>
        <v/>
      </c>
      <c r="G73" s="1" t="str">
        <f t="shared" si="7"/>
        <v/>
      </c>
    </row>
    <row r="74" spans="4:7" x14ac:dyDescent="0.35">
      <c r="D74" s="1">
        <f t="shared" si="5"/>
        <v>0</v>
      </c>
      <c r="F74" t="str">
        <f t="shared" si="6"/>
        <v/>
      </c>
      <c r="G74" s="1" t="str">
        <f t="shared" si="7"/>
        <v/>
      </c>
    </row>
    <row r="75" spans="4:7" x14ac:dyDescent="0.35">
      <c r="D75" s="1">
        <f t="shared" si="5"/>
        <v>0</v>
      </c>
      <c r="F75" t="str">
        <f t="shared" si="6"/>
        <v/>
      </c>
      <c r="G75" s="1" t="str">
        <f t="shared" si="7"/>
        <v/>
      </c>
    </row>
    <row r="76" spans="4:7" x14ac:dyDescent="0.35">
      <c r="D76" s="1">
        <f t="shared" si="5"/>
        <v>0</v>
      </c>
      <c r="F76" t="str">
        <f t="shared" si="6"/>
        <v/>
      </c>
      <c r="G76" s="1" t="str">
        <f t="shared" si="7"/>
        <v/>
      </c>
    </row>
    <row r="77" spans="4:7" x14ac:dyDescent="0.35">
      <c r="D77" s="1">
        <f t="shared" si="5"/>
        <v>0</v>
      </c>
      <c r="F77" t="str">
        <f t="shared" si="6"/>
        <v/>
      </c>
      <c r="G77" s="1" t="str">
        <f t="shared" si="7"/>
        <v/>
      </c>
    </row>
    <row r="78" spans="4:7" x14ac:dyDescent="0.35">
      <c r="D78" s="1">
        <f t="shared" si="5"/>
        <v>0</v>
      </c>
      <c r="F78" t="str">
        <f t="shared" si="6"/>
        <v/>
      </c>
      <c r="G78" s="1" t="str">
        <f t="shared" si="7"/>
        <v/>
      </c>
    </row>
    <row r="79" spans="4:7" x14ac:dyDescent="0.35">
      <c r="D79" s="1">
        <f t="shared" si="5"/>
        <v>0</v>
      </c>
      <c r="F79" t="str">
        <f t="shared" si="6"/>
        <v/>
      </c>
      <c r="G79" s="1" t="str">
        <f t="shared" si="7"/>
        <v/>
      </c>
    </row>
    <row r="80" spans="4:7" x14ac:dyDescent="0.35">
      <c r="D80" s="1">
        <f t="shared" si="5"/>
        <v>0</v>
      </c>
      <c r="F80" t="str">
        <f t="shared" si="6"/>
        <v/>
      </c>
      <c r="G80" s="1" t="str">
        <f t="shared" si="7"/>
        <v/>
      </c>
    </row>
    <row r="81" spans="4:7" x14ac:dyDescent="0.35">
      <c r="D81" s="1">
        <f t="shared" si="5"/>
        <v>0</v>
      </c>
      <c r="F81" t="str">
        <f t="shared" si="6"/>
        <v/>
      </c>
      <c r="G81" s="1" t="str">
        <f t="shared" si="7"/>
        <v/>
      </c>
    </row>
    <row r="82" spans="4:7" x14ac:dyDescent="0.35">
      <c r="D82" s="1">
        <f t="shared" si="5"/>
        <v>0</v>
      </c>
      <c r="F82" t="str">
        <f t="shared" si="6"/>
        <v/>
      </c>
      <c r="G82" s="1" t="str">
        <f t="shared" si="7"/>
        <v/>
      </c>
    </row>
    <row r="83" spans="4:7" x14ac:dyDescent="0.35">
      <c r="D83" s="1">
        <f t="shared" si="5"/>
        <v>0</v>
      </c>
      <c r="F83" t="str">
        <f t="shared" si="6"/>
        <v/>
      </c>
      <c r="G83" s="1" t="str">
        <f t="shared" si="7"/>
        <v/>
      </c>
    </row>
    <row r="84" spans="4:7" x14ac:dyDescent="0.35">
      <c r="D84" s="1">
        <f t="shared" si="5"/>
        <v>0</v>
      </c>
      <c r="F84" t="str">
        <f t="shared" si="6"/>
        <v/>
      </c>
      <c r="G84" s="1" t="str">
        <f t="shared" si="7"/>
        <v/>
      </c>
    </row>
    <row r="85" spans="4:7" x14ac:dyDescent="0.35">
      <c r="D85" s="1">
        <f t="shared" si="5"/>
        <v>0</v>
      </c>
      <c r="F85" t="str">
        <f t="shared" si="6"/>
        <v/>
      </c>
      <c r="G85" s="1" t="str">
        <f t="shared" si="7"/>
        <v/>
      </c>
    </row>
    <row r="86" spans="4:7" x14ac:dyDescent="0.35">
      <c r="D86" s="1">
        <f t="shared" si="5"/>
        <v>0</v>
      </c>
      <c r="F86" t="str">
        <f t="shared" si="6"/>
        <v/>
      </c>
      <c r="G86" s="1" t="str">
        <f t="shared" si="7"/>
        <v/>
      </c>
    </row>
    <row r="87" spans="4:7" x14ac:dyDescent="0.35">
      <c r="D87" s="1">
        <f t="shared" si="5"/>
        <v>0</v>
      </c>
      <c r="F87" t="str">
        <f t="shared" si="6"/>
        <v/>
      </c>
      <c r="G87" s="1" t="str">
        <f t="shared" si="7"/>
        <v/>
      </c>
    </row>
    <row r="88" spans="4:7" x14ac:dyDescent="0.35">
      <c r="D88" s="1">
        <f t="shared" si="5"/>
        <v>0</v>
      </c>
      <c r="F88" t="str">
        <f t="shared" si="6"/>
        <v/>
      </c>
      <c r="G88" s="1" t="str">
        <f t="shared" si="7"/>
        <v/>
      </c>
    </row>
    <row r="89" spans="4:7" x14ac:dyDescent="0.35">
      <c r="D89" s="1">
        <f t="shared" si="5"/>
        <v>0</v>
      </c>
      <c r="F89" t="str">
        <f t="shared" si="6"/>
        <v/>
      </c>
      <c r="G89" s="1" t="str">
        <f t="shared" si="7"/>
        <v/>
      </c>
    </row>
    <row r="90" spans="4:7" x14ac:dyDescent="0.35">
      <c r="D90" s="1">
        <f t="shared" si="5"/>
        <v>0</v>
      </c>
      <c r="F90" t="str">
        <f t="shared" si="6"/>
        <v/>
      </c>
      <c r="G90" s="1" t="str">
        <f t="shared" si="7"/>
        <v/>
      </c>
    </row>
    <row r="91" spans="4:7" x14ac:dyDescent="0.35">
      <c r="D91" s="1">
        <f t="shared" si="5"/>
        <v>0</v>
      </c>
      <c r="F91" t="str">
        <f t="shared" si="6"/>
        <v/>
      </c>
      <c r="G91" s="1" t="str">
        <f t="shared" si="7"/>
        <v/>
      </c>
    </row>
    <row r="92" spans="4:7" x14ac:dyDescent="0.35">
      <c r="D92" s="1">
        <f t="shared" si="5"/>
        <v>0</v>
      </c>
      <c r="F92" t="str">
        <f t="shared" si="6"/>
        <v/>
      </c>
      <c r="G92" s="1" t="str">
        <f t="shared" si="7"/>
        <v/>
      </c>
    </row>
    <row r="93" spans="4:7" x14ac:dyDescent="0.35">
      <c r="D93" s="1">
        <f t="shared" si="5"/>
        <v>0</v>
      </c>
      <c r="F93" t="str">
        <f t="shared" si="6"/>
        <v/>
      </c>
      <c r="G93" s="1" t="str">
        <f t="shared" si="7"/>
        <v/>
      </c>
    </row>
    <row r="94" spans="4:7" x14ac:dyDescent="0.35">
      <c r="D94" s="1">
        <f t="shared" si="5"/>
        <v>0</v>
      </c>
      <c r="F94" t="str">
        <f t="shared" si="6"/>
        <v/>
      </c>
      <c r="G94" s="1" t="str">
        <f t="shared" si="7"/>
        <v/>
      </c>
    </row>
    <row r="95" spans="4:7" x14ac:dyDescent="0.35">
      <c r="D95" s="1">
        <f t="shared" si="5"/>
        <v>0</v>
      </c>
      <c r="F95" t="str">
        <f t="shared" si="6"/>
        <v/>
      </c>
      <c r="G95" s="1" t="str">
        <f t="shared" si="7"/>
        <v/>
      </c>
    </row>
    <row r="96" spans="4:7" x14ac:dyDescent="0.35">
      <c r="D96" s="1">
        <f t="shared" si="5"/>
        <v>0</v>
      </c>
      <c r="F96" t="str">
        <f t="shared" si="6"/>
        <v/>
      </c>
      <c r="G96" s="1" t="str">
        <f t="shared" si="7"/>
        <v/>
      </c>
    </row>
    <row r="97" spans="4:7" x14ac:dyDescent="0.35">
      <c r="D97" s="1">
        <f t="shared" si="5"/>
        <v>0</v>
      </c>
      <c r="F97" t="str">
        <f t="shared" si="6"/>
        <v/>
      </c>
      <c r="G97" s="1" t="str">
        <f t="shared" si="7"/>
        <v/>
      </c>
    </row>
    <row r="98" spans="4:7" x14ac:dyDescent="0.35">
      <c r="D98" s="1">
        <f t="shared" ref="D98:D129" si="8">(C98-B98)</f>
        <v>0</v>
      </c>
      <c r="F98" t="str">
        <f t="shared" ref="F98:F129" si="9">IF(AND(B98&lt;&gt;"",C98&lt;&gt;""),C98-B98,"")</f>
        <v/>
      </c>
      <c r="G98" s="1" t="str">
        <f t="shared" si="7"/>
        <v/>
      </c>
    </row>
    <row r="99" spans="4:7" x14ac:dyDescent="0.35">
      <c r="D99" s="1">
        <f t="shared" si="8"/>
        <v>0</v>
      </c>
      <c r="F99" t="str">
        <f t="shared" si="9"/>
        <v/>
      </c>
      <c r="G99" s="1" t="str">
        <f t="shared" si="7"/>
        <v/>
      </c>
    </row>
    <row r="100" spans="4:7" x14ac:dyDescent="0.35">
      <c r="D100" s="1">
        <f t="shared" si="8"/>
        <v>0</v>
      </c>
      <c r="F100" t="str">
        <f t="shared" si="9"/>
        <v/>
      </c>
      <c r="G100" s="1" t="str">
        <f t="shared" si="7"/>
        <v/>
      </c>
    </row>
    <row r="101" spans="4:7" x14ac:dyDescent="0.35">
      <c r="D101" s="1">
        <f t="shared" si="8"/>
        <v>0</v>
      </c>
      <c r="F101" t="str">
        <f t="shared" si="9"/>
        <v/>
      </c>
      <c r="G101" s="1" t="str">
        <f t="shared" si="7"/>
        <v/>
      </c>
    </row>
    <row r="102" spans="4:7" x14ac:dyDescent="0.35">
      <c r="D102" s="1">
        <f t="shared" si="8"/>
        <v>0</v>
      </c>
      <c r="F102" t="str">
        <f t="shared" si="9"/>
        <v/>
      </c>
      <c r="G102" s="1" t="str">
        <f t="shared" si="7"/>
        <v/>
      </c>
    </row>
    <row r="103" spans="4:7" x14ac:dyDescent="0.35">
      <c r="D103" s="1">
        <f t="shared" si="8"/>
        <v>0</v>
      </c>
      <c r="F103" t="str">
        <f t="shared" si="9"/>
        <v/>
      </c>
      <c r="G103" s="1" t="str">
        <f t="shared" si="7"/>
        <v/>
      </c>
    </row>
    <row r="104" spans="4:7" x14ac:dyDescent="0.35">
      <c r="D104" s="1">
        <f t="shared" si="8"/>
        <v>0</v>
      </c>
      <c r="F104" t="str">
        <f t="shared" si="9"/>
        <v/>
      </c>
      <c r="G104" s="1" t="str">
        <f t="shared" si="7"/>
        <v/>
      </c>
    </row>
    <row r="105" spans="4:7" x14ac:dyDescent="0.35">
      <c r="D105" s="1">
        <f t="shared" si="8"/>
        <v>0</v>
      </c>
      <c r="F105" t="str">
        <f t="shared" si="9"/>
        <v/>
      </c>
      <c r="G105" s="1" t="str">
        <f t="shared" si="7"/>
        <v/>
      </c>
    </row>
    <row r="106" spans="4:7" x14ac:dyDescent="0.35">
      <c r="D106" s="1">
        <f t="shared" si="8"/>
        <v>0</v>
      </c>
      <c r="F106" t="str">
        <f t="shared" si="9"/>
        <v/>
      </c>
      <c r="G106" s="1" t="str">
        <f t="shared" si="7"/>
        <v/>
      </c>
    </row>
    <row r="107" spans="4:7" x14ac:dyDescent="0.35">
      <c r="D107" s="1">
        <f t="shared" si="8"/>
        <v>0</v>
      </c>
      <c r="F107" t="str">
        <f t="shared" si="9"/>
        <v/>
      </c>
      <c r="G107" s="1" t="str">
        <f t="shared" si="7"/>
        <v/>
      </c>
    </row>
    <row r="108" spans="4:7" x14ac:dyDescent="0.35">
      <c r="D108" s="1">
        <f t="shared" si="8"/>
        <v>0</v>
      </c>
      <c r="F108" t="str">
        <f t="shared" si="9"/>
        <v/>
      </c>
      <c r="G108" s="1" t="str">
        <f t="shared" si="7"/>
        <v/>
      </c>
    </row>
    <row r="109" spans="4:7" x14ac:dyDescent="0.35">
      <c r="D109" s="1">
        <f t="shared" si="8"/>
        <v>0</v>
      </c>
      <c r="F109" t="str">
        <f t="shared" si="9"/>
        <v/>
      </c>
      <c r="G109" s="1" t="str">
        <f t="shared" si="7"/>
        <v/>
      </c>
    </row>
    <row r="110" spans="4:7" x14ac:dyDescent="0.35">
      <c r="D110" s="1">
        <f t="shared" si="8"/>
        <v>0</v>
      </c>
      <c r="F110" t="str">
        <f t="shared" si="9"/>
        <v/>
      </c>
      <c r="G110" s="1" t="str">
        <f t="shared" si="7"/>
        <v/>
      </c>
    </row>
    <row r="111" spans="4:7" x14ac:dyDescent="0.35">
      <c r="D111" s="1">
        <f t="shared" si="8"/>
        <v>0</v>
      </c>
      <c r="F111" t="str">
        <f t="shared" si="9"/>
        <v/>
      </c>
      <c r="G111" s="1" t="str">
        <f t="shared" si="7"/>
        <v/>
      </c>
    </row>
    <row r="112" spans="4:7" x14ac:dyDescent="0.35">
      <c r="D112" s="1">
        <f t="shared" si="8"/>
        <v>0</v>
      </c>
      <c r="F112" t="str">
        <f t="shared" si="9"/>
        <v/>
      </c>
      <c r="G112" s="1" t="str">
        <f t="shared" si="7"/>
        <v/>
      </c>
    </row>
    <row r="113" spans="4:7" x14ac:dyDescent="0.35">
      <c r="D113" s="1">
        <f t="shared" si="8"/>
        <v>0</v>
      </c>
      <c r="F113" t="str">
        <f t="shared" si="9"/>
        <v/>
      </c>
      <c r="G113" s="1" t="str">
        <f t="shared" si="7"/>
        <v/>
      </c>
    </row>
    <row r="114" spans="4:7" x14ac:dyDescent="0.35">
      <c r="D114" s="1">
        <f t="shared" si="8"/>
        <v>0</v>
      </c>
      <c r="F114" t="str">
        <f t="shared" si="9"/>
        <v/>
      </c>
      <c r="G114" s="1" t="str">
        <f t="shared" si="7"/>
        <v/>
      </c>
    </row>
    <row r="115" spans="4:7" x14ac:dyDescent="0.35">
      <c r="D115" s="1">
        <f t="shared" si="8"/>
        <v>0</v>
      </c>
      <c r="F115" t="str">
        <f t="shared" si="9"/>
        <v/>
      </c>
      <c r="G115" s="1" t="str">
        <f t="shared" si="7"/>
        <v/>
      </c>
    </row>
    <row r="116" spans="4:7" x14ac:dyDescent="0.35">
      <c r="D116" s="1">
        <f t="shared" si="8"/>
        <v>0</v>
      </c>
      <c r="F116" t="str">
        <f t="shared" si="9"/>
        <v/>
      </c>
      <c r="G116" s="1" t="str">
        <f t="shared" si="7"/>
        <v/>
      </c>
    </row>
    <row r="117" spans="4:7" x14ac:dyDescent="0.35">
      <c r="D117" s="1">
        <f t="shared" si="8"/>
        <v>0</v>
      </c>
      <c r="F117" t="str">
        <f t="shared" si="9"/>
        <v/>
      </c>
      <c r="G117" s="1" t="str">
        <f t="shared" si="7"/>
        <v/>
      </c>
    </row>
    <row r="118" spans="4:7" x14ac:dyDescent="0.35">
      <c r="D118" s="1">
        <f t="shared" si="8"/>
        <v>0</v>
      </c>
      <c r="F118" t="str">
        <f t="shared" si="9"/>
        <v/>
      </c>
      <c r="G118" s="1" t="str">
        <f t="shared" si="7"/>
        <v/>
      </c>
    </row>
    <row r="119" spans="4:7" x14ac:dyDescent="0.35">
      <c r="D119" s="1">
        <f t="shared" si="8"/>
        <v>0</v>
      </c>
      <c r="F119" t="str">
        <f t="shared" si="9"/>
        <v/>
      </c>
      <c r="G119" s="1" t="str">
        <f t="shared" si="7"/>
        <v/>
      </c>
    </row>
    <row r="120" spans="4:7" x14ac:dyDescent="0.35">
      <c r="D120" s="1">
        <f t="shared" si="8"/>
        <v>0</v>
      </c>
      <c r="F120" t="str">
        <f t="shared" si="9"/>
        <v/>
      </c>
      <c r="G120" s="1" t="str">
        <f t="shared" si="7"/>
        <v/>
      </c>
    </row>
    <row r="121" spans="4:7" x14ac:dyDescent="0.35">
      <c r="D121" s="1">
        <f t="shared" si="8"/>
        <v>0</v>
      </c>
      <c r="F121" t="str">
        <f t="shared" si="9"/>
        <v/>
      </c>
      <c r="G121" s="1" t="str">
        <f t="shared" si="7"/>
        <v/>
      </c>
    </row>
    <row r="122" spans="4:7" x14ac:dyDescent="0.35">
      <c r="D122" s="1">
        <f t="shared" si="8"/>
        <v>0</v>
      </c>
      <c r="F122" t="str">
        <f t="shared" si="9"/>
        <v/>
      </c>
      <c r="G122" s="1" t="str">
        <f t="shared" si="7"/>
        <v/>
      </c>
    </row>
    <row r="123" spans="4:7" x14ac:dyDescent="0.35">
      <c r="D123" s="1">
        <f t="shared" si="8"/>
        <v>0</v>
      </c>
      <c r="F123" t="str">
        <f t="shared" si="9"/>
        <v/>
      </c>
      <c r="G123" s="1" t="str">
        <f t="shared" si="7"/>
        <v/>
      </c>
    </row>
    <row r="124" spans="4:7" x14ac:dyDescent="0.35">
      <c r="D124" s="1">
        <f t="shared" si="8"/>
        <v>0</v>
      </c>
      <c r="F124" t="str">
        <f t="shared" si="9"/>
        <v/>
      </c>
      <c r="G124" s="1" t="str">
        <f t="shared" si="7"/>
        <v/>
      </c>
    </row>
    <row r="125" spans="4:7" x14ac:dyDescent="0.35">
      <c r="D125" s="1">
        <f t="shared" si="8"/>
        <v>0</v>
      </c>
      <c r="F125" t="str">
        <f t="shared" si="9"/>
        <v/>
      </c>
      <c r="G125" s="1" t="str">
        <f t="shared" si="7"/>
        <v/>
      </c>
    </row>
    <row r="126" spans="4:7" x14ac:dyDescent="0.35">
      <c r="D126" s="1">
        <f t="shared" si="8"/>
        <v>0</v>
      </c>
      <c r="F126" t="str">
        <f t="shared" si="9"/>
        <v/>
      </c>
      <c r="G126" s="1" t="str">
        <f t="shared" si="7"/>
        <v/>
      </c>
    </row>
    <row r="127" spans="4:7" x14ac:dyDescent="0.35">
      <c r="D127" s="1">
        <f t="shared" si="8"/>
        <v>0</v>
      </c>
      <c r="F127" t="str">
        <f t="shared" si="9"/>
        <v/>
      </c>
      <c r="G127" s="1" t="str">
        <f t="shared" si="7"/>
        <v/>
      </c>
    </row>
    <row r="128" spans="4:7" x14ac:dyDescent="0.35">
      <c r="D128" s="1">
        <f t="shared" si="8"/>
        <v>0</v>
      </c>
      <c r="F128" t="str">
        <f t="shared" si="9"/>
        <v/>
      </c>
      <c r="G128" s="1" t="str">
        <f t="shared" si="7"/>
        <v/>
      </c>
    </row>
    <row r="129" spans="4:7" x14ac:dyDescent="0.35">
      <c r="D129" s="1">
        <f t="shared" si="8"/>
        <v>0</v>
      </c>
      <c r="F129" t="str">
        <f t="shared" si="9"/>
        <v/>
      </c>
      <c r="G129" s="1" t="str">
        <f t="shared" si="7"/>
        <v/>
      </c>
    </row>
    <row r="130" spans="4:7" x14ac:dyDescent="0.35">
      <c r="D130" s="1">
        <f t="shared" ref="D130:D161" si="10">(C130-B130)</f>
        <v>0</v>
      </c>
      <c r="F130" t="str">
        <f t="shared" ref="F130:F161" si="11">IF(AND(B130&lt;&gt;"",C130&lt;&gt;""),C130-B130,"")</f>
        <v/>
      </c>
      <c r="G130" s="1" t="str">
        <f t="shared" ref="G130:G193" si="12">IF(AND(B130&lt;&gt;"",C130&lt;&gt;""),C130-B130,"")</f>
        <v/>
      </c>
    </row>
    <row r="131" spans="4:7" x14ac:dyDescent="0.35">
      <c r="D131" s="1">
        <f t="shared" si="10"/>
        <v>0</v>
      </c>
      <c r="F131" t="str">
        <f t="shared" si="11"/>
        <v/>
      </c>
      <c r="G131" s="1" t="str">
        <f t="shared" si="12"/>
        <v/>
      </c>
    </row>
    <row r="132" spans="4:7" x14ac:dyDescent="0.35">
      <c r="D132" s="1">
        <f t="shared" si="10"/>
        <v>0</v>
      </c>
      <c r="F132" t="str">
        <f t="shared" si="11"/>
        <v/>
      </c>
      <c r="G132" s="1" t="str">
        <f t="shared" si="12"/>
        <v/>
      </c>
    </row>
    <row r="133" spans="4:7" x14ac:dyDescent="0.35">
      <c r="D133" s="1">
        <f t="shared" si="10"/>
        <v>0</v>
      </c>
      <c r="F133" t="str">
        <f t="shared" si="11"/>
        <v/>
      </c>
      <c r="G133" s="1" t="str">
        <f t="shared" si="12"/>
        <v/>
      </c>
    </row>
    <row r="134" spans="4:7" x14ac:dyDescent="0.35">
      <c r="D134" s="1">
        <f t="shared" si="10"/>
        <v>0</v>
      </c>
      <c r="F134" t="str">
        <f t="shared" si="11"/>
        <v/>
      </c>
      <c r="G134" s="1" t="str">
        <f t="shared" si="12"/>
        <v/>
      </c>
    </row>
    <row r="135" spans="4:7" x14ac:dyDescent="0.35">
      <c r="D135" s="1">
        <f t="shared" si="10"/>
        <v>0</v>
      </c>
      <c r="F135" t="str">
        <f t="shared" si="11"/>
        <v/>
      </c>
      <c r="G135" s="1" t="str">
        <f t="shared" si="12"/>
        <v/>
      </c>
    </row>
    <row r="136" spans="4:7" x14ac:dyDescent="0.35">
      <c r="D136" s="1">
        <f t="shared" si="10"/>
        <v>0</v>
      </c>
      <c r="F136" t="str">
        <f t="shared" si="11"/>
        <v/>
      </c>
      <c r="G136" s="1" t="str">
        <f t="shared" si="12"/>
        <v/>
      </c>
    </row>
    <row r="137" spans="4:7" x14ac:dyDescent="0.35">
      <c r="D137" s="1">
        <f t="shared" si="10"/>
        <v>0</v>
      </c>
      <c r="F137" t="str">
        <f t="shared" si="11"/>
        <v/>
      </c>
      <c r="G137" s="1" t="str">
        <f t="shared" si="12"/>
        <v/>
      </c>
    </row>
    <row r="138" spans="4:7" x14ac:dyDescent="0.35">
      <c r="D138" s="1">
        <f t="shared" si="10"/>
        <v>0</v>
      </c>
      <c r="F138" t="str">
        <f t="shared" si="11"/>
        <v/>
      </c>
      <c r="G138" s="1" t="str">
        <f t="shared" si="12"/>
        <v/>
      </c>
    </row>
    <row r="139" spans="4:7" x14ac:dyDescent="0.35">
      <c r="D139" s="1">
        <f t="shared" si="10"/>
        <v>0</v>
      </c>
      <c r="F139" t="str">
        <f t="shared" si="11"/>
        <v/>
      </c>
      <c r="G139" s="1" t="str">
        <f t="shared" si="12"/>
        <v/>
      </c>
    </row>
    <row r="140" spans="4:7" x14ac:dyDescent="0.35">
      <c r="D140" s="1">
        <f t="shared" si="10"/>
        <v>0</v>
      </c>
      <c r="F140" t="str">
        <f t="shared" si="11"/>
        <v/>
      </c>
      <c r="G140" s="1" t="str">
        <f t="shared" si="12"/>
        <v/>
      </c>
    </row>
    <row r="141" spans="4:7" x14ac:dyDescent="0.35">
      <c r="D141" s="1">
        <f t="shared" si="10"/>
        <v>0</v>
      </c>
      <c r="F141" t="str">
        <f t="shared" si="11"/>
        <v/>
      </c>
      <c r="G141" s="1" t="str">
        <f t="shared" si="12"/>
        <v/>
      </c>
    </row>
    <row r="142" spans="4:7" x14ac:dyDescent="0.35">
      <c r="D142" s="1">
        <f t="shared" si="10"/>
        <v>0</v>
      </c>
      <c r="F142" t="str">
        <f t="shared" si="11"/>
        <v/>
      </c>
      <c r="G142" s="1" t="str">
        <f t="shared" si="12"/>
        <v/>
      </c>
    </row>
    <row r="143" spans="4:7" x14ac:dyDescent="0.35">
      <c r="D143" s="1">
        <f t="shared" si="10"/>
        <v>0</v>
      </c>
      <c r="F143" t="str">
        <f t="shared" si="11"/>
        <v/>
      </c>
      <c r="G143" s="1" t="str">
        <f t="shared" si="12"/>
        <v/>
      </c>
    </row>
    <row r="144" spans="4:7" x14ac:dyDescent="0.35">
      <c r="D144" s="1">
        <f t="shared" si="10"/>
        <v>0</v>
      </c>
      <c r="F144" t="str">
        <f t="shared" si="11"/>
        <v/>
      </c>
      <c r="G144" s="1" t="str">
        <f t="shared" si="12"/>
        <v/>
      </c>
    </row>
    <row r="145" spans="4:7" x14ac:dyDescent="0.35">
      <c r="D145" s="1">
        <f t="shared" si="10"/>
        <v>0</v>
      </c>
      <c r="F145" t="str">
        <f t="shared" si="11"/>
        <v/>
      </c>
      <c r="G145" s="1" t="str">
        <f t="shared" si="12"/>
        <v/>
      </c>
    </row>
    <row r="146" spans="4:7" x14ac:dyDescent="0.35">
      <c r="D146" s="1">
        <f t="shared" si="10"/>
        <v>0</v>
      </c>
      <c r="F146" t="str">
        <f t="shared" si="11"/>
        <v/>
      </c>
      <c r="G146" s="1" t="str">
        <f t="shared" si="12"/>
        <v/>
      </c>
    </row>
    <row r="147" spans="4:7" x14ac:dyDescent="0.35">
      <c r="D147" s="1">
        <f t="shared" si="10"/>
        <v>0</v>
      </c>
      <c r="F147" t="str">
        <f t="shared" si="11"/>
        <v/>
      </c>
      <c r="G147" s="1" t="str">
        <f t="shared" si="12"/>
        <v/>
      </c>
    </row>
    <row r="148" spans="4:7" x14ac:dyDescent="0.35">
      <c r="D148" s="1">
        <f t="shared" si="10"/>
        <v>0</v>
      </c>
      <c r="F148" t="str">
        <f t="shared" si="11"/>
        <v/>
      </c>
      <c r="G148" s="1" t="str">
        <f t="shared" si="12"/>
        <v/>
      </c>
    </row>
    <row r="149" spans="4:7" x14ac:dyDescent="0.35">
      <c r="D149" s="1">
        <f t="shared" si="10"/>
        <v>0</v>
      </c>
      <c r="F149" t="str">
        <f t="shared" si="11"/>
        <v/>
      </c>
      <c r="G149" s="1" t="str">
        <f t="shared" si="12"/>
        <v/>
      </c>
    </row>
    <row r="150" spans="4:7" x14ac:dyDescent="0.35">
      <c r="D150" s="1">
        <f t="shared" si="10"/>
        <v>0</v>
      </c>
      <c r="F150" t="str">
        <f t="shared" si="11"/>
        <v/>
      </c>
      <c r="G150" s="1" t="str">
        <f t="shared" si="12"/>
        <v/>
      </c>
    </row>
    <row r="151" spans="4:7" x14ac:dyDescent="0.35">
      <c r="D151" s="1">
        <f t="shared" si="10"/>
        <v>0</v>
      </c>
      <c r="F151" t="str">
        <f t="shared" si="11"/>
        <v/>
      </c>
      <c r="G151" s="1" t="str">
        <f t="shared" si="12"/>
        <v/>
      </c>
    </row>
    <row r="152" spans="4:7" x14ac:dyDescent="0.35">
      <c r="D152" s="1">
        <f t="shared" si="10"/>
        <v>0</v>
      </c>
      <c r="F152" t="str">
        <f t="shared" si="11"/>
        <v/>
      </c>
      <c r="G152" s="1" t="str">
        <f t="shared" si="12"/>
        <v/>
      </c>
    </row>
    <row r="153" spans="4:7" x14ac:dyDescent="0.35">
      <c r="D153" s="1">
        <f t="shared" si="10"/>
        <v>0</v>
      </c>
      <c r="F153" t="str">
        <f t="shared" si="11"/>
        <v/>
      </c>
      <c r="G153" s="1" t="str">
        <f t="shared" si="12"/>
        <v/>
      </c>
    </row>
    <row r="154" spans="4:7" x14ac:dyDescent="0.35">
      <c r="D154" s="1">
        <f t="shared" si="10"/>
        <v>0</v>
      </c>
      <c r="F154" t="str">
        <f t="shared" si="11"/>
        <v/>
      </c>
      <c r="G154" s="1" t="str">
        <f t="shared" si="12"/>
        <v/>
      </c>
    </row>
    <row r="155" spans="4:7" x14ac:dyDescent="0.35">
      <c r="D155" s="1">
        <f t="shared" si="10"/>
        <v>0</v>
      </c>
      <c r="F155" t="str">
        <f t="shared" si="11"/>
        <v/>
      </c>
      <c r="G155" s="1" t="str">
        <f t="shared" si="12"/>
        <v/>
      </c>
    </row>
    <row r="156" spans="4:7" x14ac:dyDescent="0.35">
      <c r="D156" s="1">
        <f t="shared" si="10"/>
        <v>0</v>
      </c>
      <c r="F156" t="str">
        <f t="shared" si="11"/>
        <v/>
      </c>
      <c r="G156" s="1" t="str">
        <f t="shared" si="12"/>
        <v/>
      </c>
    </row>
    <row r="157" spans="4:7" x14ac:dyDescent="0.35">
      <c r="D157" s="1">
        <f t="shared" si="10"/>
        <v>0</v>
      </c>
      <c r="F157" t="str">
        <f t="shared" si="11"/>
        <v/>
      </c>
      <c r="G157" s="1" t="str">
        <f t="shared" si="12"/>
        <v/>
      </c>
    </row>
    <row r="158" spans="4:7" x14ac:dyDescent="0.35">
      <c r="D158" s="1">
        <f t="shared" si="10"/>
        <v>0</v>
      </c>
      <c r="F158" t="str">
        <f t="shared" si="11"/>
        <v/>
      </c>
      <c r="G158" s="1" t="str">
        <f t="shared" si="12"/>
        <v/>
      </c>
    </row>
    <row r="159" spans="4:7" x14ac:dyDescent="0.35">
      <c r="D159" s="1">
        <f t="shared" si="10"/>
        <v>0</v>
      </c>
      <c r="F159" t="str">
        <f t="shared" si="11"/>
        <v/>
      </c>
      <c r="G159" s="1" t="str">
        <f t="shared" si="12"/>
        <v/>
      </c>
    </row>
    <row r="160" spans="4:7" x14ac:dyDescent="0.35">
      <c r="D160" s="1">
        <f t="shared" si="10"/>
        <v>0</v>
      </c>
      <c r="F160" t="str">
        <f t="shared" si="11"/>
        <v/>
      </c>
      <c r="G160" s="1" t="str">
        <f t="shared" si="12"/>
        <v/>
      </c>
    </row>
    <row r="161" spans="4:7" x14ac:dyDescent="0.35">
      <c r="D161" s="1">
        <f t="shared" si="10"/>
        <v>0</v>
      </c>
      <c r="F161" t="str">
        <f t="shared" si="11"/>
        <v/>
      </c>
      <c r="G161" s="1" t="str">
        <f t="shared" si="12"/>
        <v/>
      </c>
    </row>
    <row r="162" spans="4:7" x14ac:dyDescent="0.35">
      <c r="D162" s="1">
        <f t="shared" ref="D162:D193" si="13">(C162-B162)</f>
        <v>0</v>
      </c>
      <c r="F162" t="str">
        <f t="shared" ref="F162:F193" si="14">IF(AND(B162&lt;&gt;"",C162&lt;&gt;""),C162-B162,"")</f>
        <v/>
      </c>
      <c r="G162" s="1" t="str">
        <f t="shared" si="12"/>
        <v/>
      </c>
    </row>
    <row r="163" spans="4:7" x14ac:dyDescent="0.35">
      <c r="D163" s="1">
        <f t="shared" si="13"/>
        <v>0</v>
      </c>
      <c r="F163" t="str">
        <f t="shared" si="14"/>
        <v/>
      </c>
      <c r="G163" s="1" t="str">
        <f t="shared" si="12"/>
        <v/>
      </c>
    </row>
    <row r="164" spans="4:7" x14ac:dyDescent="0.35">
      <c r="D164" s="1">
        <f t="shared" si="13"/>
        <v>0</v>
      </c>
      <c r="F164" t="str">
        <f t="shared" si="14"/>
        <v/>
      </c>
      <c r="G164" s="1" t="str">
        <f t="shared" si="12"/>
        <v/>
      </c>
    </row>
    <row r="165" spans="4:7" x14ac:dyDescent="0.35">
      <c r="D165" s="1">
        <f t="shared" si="13"/>
        <v>0</v>
      </c>
      <c r="F165" t="str">
        <f t="shared" si="14"/>
        <v/>
      </c>
      <c r="G165" s="1" t="str">
        <f t="shared" si="12"/>
        <v/>
      </c>
    </row>
    <row r="166" spans="4:7" x14ac:dyDescent="0.35">
      <c r="D166" s="1">
        <f t="shared" si="13"/>
        <v>0</v>
      </c>
      <c r="F166" t="str">
        <f t="shared" si="14"/>
        <v/>
      </c>
      <c r="G166" s="1" t="str">
        <f t="shared" si="12"/>
        <v/>
      </c>
    </row>
    <row r="167" spans="4:7" x14ac:dyDescent="0.35">
      <c r="D167" s="1">
        <f t="shared" si="13"/>
        <v>0</v>
      </c>
      <c r="F167" t="str">
        <f t="shared" si="14"/>
        <v/>
      </c>
      <c r="G167" s="1" t="str">
        <f t="shared" si="12"/>
        <v/>
      </c>
    </row>
    <row r="168" spans="4:7" x14ac:dyDescent="0.35">
      <c r="D168" s="1">
        <f t="shared" si="13"/>
        <v>0</v>
      </c>
      <c r="F168" t="str">
        <f t="shared" si="14"/>
        <v/>
      </c>
      <c r="G168" s="1" t="str">
        <f t="shared" si="12"/>
        <v/>
      </c>
    </row>
    <row r="169" spans="4:7" x14ac:dyDescent="0.35">
      <c r="D169" s="1">
        <f t="shared" si="13"/>
        <v>0</v>
      </c>
      <c r="F169" t="str">
        <f t="shared" si="14"/>
        <v/>
      </c>
      <c r="G169" s="1" t="str">
        <f t="shared" si="12"/>
        <v/>
      </c>
    </row>
    <row r="170" spans="4:7" x14ac:dyDescent="0.35">
      <c r="D170" s="1">
        <f t="shared" si="13"/>
        <v>0</v>
      </c>
      <c r="F170" t="str">
        <f t="shared" si="14"/>
        <v/>
      </c>
      <c r="G170" s="1" t="str">
        <f t="shared" si="12"/>
        <v/>
      </c>
    </row>
    <row r="171" spans="4:7" x14ac:dyDescent="0.35">
      <c r="D171" s="1">
        <f t="shared" si="13"/>
        <v>0</v>
      </c>
      <c r="F171" t="str">
        <f t="shared" si="14"/>
        <v/>
      </c>
      <c r="G171" s="1" t="str">
        <f t="shared" si="12"/>
        <v/>
      </c>
    </row>
    <row r="172" spans="4:7" x14ac:dyDescent="0.35">
      <c r="D172" s="1">
        <f t="shared" si="13"/>
        <v>0</v>
      </c>
      <c r="F172" t="str">
        <f t="shared" si="14"/>
        <v/>
      </c>
      <c r="G172" s="1" t="str">
        <f t="shared" si="12"/>
        <v/>
      </c>
    </row>
    <row r="173" spans="4:7" x14ac:dyDescent="0.35">
      <c r="D173" s="1">
        <f t="shared" si="13"/>
        <v>0</v>
      </c>
      <c r="F173" t="str">
        <f t="shared" si="14"/>
        <v/>
      </c>
      <c r="G173" s="1" t="str">
        <f t="shared" si="12"/>
        <v/>
      </c>
    </row>
    <row r="174" spans="4:7" x14ac:dyDescent="0.35">
      <c r="D174" s="1">
        <f t="shared" si="13"/>
        <v>0</v>
      </c>
      <c r="F174" t="str">
        <f t="shared" si="14"/>
        <v/>
      </c>
      <c r="G174" s="1" t="str">
        <f t="shared" si="12"/>
        <v/>
      </c>
    </row>
    <row r="175" spans="4:7" x14ac:dyDescent="0.35">
      <c r="D175" s="1">
        <f t="shared" si="13"/>
        <v>0</v>
      </c>
      <c r="F175" t="str">
        <f t="shared" si="14"/>
        <v/>
      </c>
      <c r="G175" s="1" t="str">
        <f t="shared" si="12"/>
        <v/>
      </c>
    </row>
    <row r="176" spans="4:7" x14ac:dyDescent="0.35">
      <c r="D176" s="1">
        <f t="shared" si="13"/>
        <v>0</v>
      </c>
      <c r="F176" t="str">
        <f t="shared" si="14"/>
        <v/>
      </c>
      <c r="G176" s="1" t="str">
        <f t="shared" si="12"/>
        <v/>
      </c>
    </row>
    <row r="177" spans="4:7" x14ac:dyDescent="0.35">
      <c r="D177" s="1">
        <f t="shared" si="13"/>
        <v>0</v>
      </c>
      <c r="F177" t="str">
        <f t="shared" si="14"/>
        <v/>
      </c>
      <c r="G177" s="1" t="str">
        <f t="shared" si="12"/>
        <v/>
      </c>
    </row>
    <row r="178" spans="4:7" x14ac:dyDescent="0.35">
      <c r="D178" s="1">
        <f t="shared" si="13"/>
        <v>0</v>
      </c>
      <c r="F178" t="str">
        <f t="shared" si="14"/>
        <v/>
      </c>
      <c r="G178" s="1" t="str">
        <f t="shared" si="12"/>
        <v/>
      </c>
    </row>
    <row r="179" spans="4:7" x14ac:dyDescent="0.35">
      <c r="D179" s="1">
        <f t="shared" si="13"/>
        <v>0</v>
      </c>
      <c r="F179" t="str">
        <f t="shared" si="14"/>
        <v/>
      </c>
      <c r="G179" s="1" t="str">
        <f t="shared" si="12"/>
        <v/>
      </c>
    </row>
    <row r="180" spans="4:7" x14ac:dyDescent="0.35">
      <c r="D180" s="1">
        <f t="shared" si="13"/>
        <v>0</v>
      </c>
      <c r="F180" t="str">
        <f t="shared" si="14"/>
        <v/>
      </c>
      <c r="G180" s="1" t="str">
        <f t="shared" si="12"/>
        <v/>
      </c>
    </row>
    <row r="181" spans="4:7" x14ac:dyDescent="0.35">
      <c r="D181" s="1">
        <f t="shared" si="13"/>
        <v>0</v>
      </c>
      <c r="F181" t="str">
        <f t="shared" si="14"/>
        <v/>
      </c>
      <c r="G181" s="1" t="str">
        <f t="shared" si="12"/>
        <v/>
      </c>
    </row>
    <row r="182" spans="4:7" x14ac:dyDescent="0.35">
      <c r="D182" s="1">
        <f t="shared" si="13"/>
        <v>0</v>
      </c>
      <c r="F182" t="str">
        <f t="shared" si="14"/>
        <v/>
      </c>
      <c r="G182" s="1" t="str">
        <f t="shared" si="12"/>
        <v/>
      </c>
    </row>
    <row r="183" spans="4:7" x14ac:dyDescent="0.35">
      <c r="D183" s="1">
        <f t="shared" si="13"/>
        <v>0</v>
      </c>
      <c r="F183" t="str">
        <f t="shared" si="14"/>
        <v/>
      </c>
      <c r="G183" s="1" t="str">
        <f t="shared" si="12"/>
        <v/>
      </c>
    </row>
    <row r="184" spans="4:7" x14ac:dyDescent="0.35">
      <c r="D184" s="1">
        <f t="shared" si="13"/>
        <v>0</v>
      </c>
      <c r="F184" t="str">
        <f t="shared" si="14"/>
        <v/>
      </c>
      <c r="G184" s="1" t="str">
        <f t="shared" si="12"/>
        <v/>
      </c>
    </row>
    <row r="185" spans="4:7" x14ac:dyDescent="0.35">
      <c r="D185" s="1">
        <f t="shared" si="13"/>
        <v>0</v>
      </c>
      <c r="F185" t="str">
        <f t="shared" si="14"/>
        <v/>
      </c>
      <c r="G185" s="1" t="str">
        <f t="shared" si="12"/>
        <v/>
      </c>
    </row>
    <row r="186" spans="4:7" x14ac:dyDescent="0.35">
      <c r="D186" s="1">
        <f t="shared" si="13"/>
        <v>0</v>
      </c>
      <c r="F186" t="str">
        <f t="shared" si="14"/>
        <v/>
      </c>
      <c r="G186" s="1" t="str">
        <f t="shared" si="12"/>
        <v/>
      </c>
    </row>
    <row r="187" spans="4:7" x14ac:dyDescent="0.35">
      <c r="D187" s="1">
        <f t="shared" si="13"/>
        <v>0</v>
      </c>
      <c r="F187" t="str">
        <f t="shared" si="14"/>
        <v/>
      </c>
      <c r="G187" s="1" t="str">
        <f t="shared" si="12"/>
        <v/>
      </c>
    </row>
    <row r="188" spans="4:7" x14ac:dyDescent="0.35">
      <c r="D188" s="1">
        <f t="shared" si="13"/>
        <v>0</v>
      </c>
      <c r="F188" t="str">
        <f t="shared" si="14"/>
        <v/>
      </c>
      <c r="G188" s="1" t="str">
        <f t="shared" si="12"/>
        <v/>
      </c>
    </row>
    <row r="189" spans="4:7" x14ac:dyDescent="0.35">
      <c r="D189" s="1">
        <f t="shared" si="13"/>
        <v>0</v>
      </c>
      <c r="F189" t="str">
        <f t="shared" si="14"/>
        <v/>
      </c>
      <c r="G189" s="1" t="str">
        <f t="shared" si="12"/>
        <v/>
      </c>
    </row>
    <row r="190" spans="4:7" x14ac:dyDescent="0.35">
      <c r="D190" s="1">
        <f t="shared" si="13"/>
        <v>0</v>
      </c>
      <c r="F190" t="str">
        <f t="shared" si="14"/>
        <v/>
      </c>
      <c r="G190" s="1" t="str">
        <f t="shared" si="12"/>
        <v/>
      </c>
    </row>
    <row r="191" spans="4:7" x14ac:dyDescent="0.35">
      <c r="D191" s="1">
        <f t="shared" si="13"/>
        <v>0</v>
      </c>
      <c r="F191" t="str">
        <f t="shared" si="14"/>
        <v/>
      </c>
      <c r="G191" s="1" t="str">
        <f t="shared" si="12"/>
        <v/>
      </c>
    </row>
    <row r="192" spans="4:7" x14ac:dyDescent="0.35">
      <c r="D192" s="1">
        <f t="shared" si="13"/>
        <v>0</v>
      </c>
      <c r="F192" t="str">
        <f t="shared" si="14"/>
        <v/>
      </c>
      <c r="G192" s="1" t="str">
        <f t="shared" si="12"/>
        <v/>
      </c>
    </row>
    <row r="193" spans="4:7" x14ac:dyDescent="0.35">
      <c r="D193" s="1">
        <f t="shared" si="13"/>
        <v>0</v>
      </c>
      <c r="F193" t="str">
        <f t="shared" si="14"/>
        <v/>
      </c>
      <c r="G193" s="1" t="str">
        <f t="shared" si="12"/>
        <v/>
      </c>
    </row>
    <row r="194" spans="4:7" x14ac:dyDescent="0.35">
      <c r="D194" s="1">
        <f t="shared" ref="D194:D225" si="15">(C194-B194)</f>
        <v>0</v>
      </c>
      <c r="F194" t="str">
        <f t="shared" ref="F194:F200" si="16">IF(AND(B194&lt;&gt;"",C194&lt;&gt;""),C194-B194,"")</f>
        <v/>
      </c>
      <c r="G194" s="1" t="str">
        <f t="shared" ref="G194:G200" si="17">IF(AND(B194&lt;&gt;"",C194&lt;&gt;""),C194-B194,"")</f>
        <v/>
      </c>
    </row>
    <row r="195" spans="4:7" x14ac:dyDescent="0.35">
      <c r="D195" s="1">
        <f t="shared" si="15"/>
        <v>0</v>
      </c>
      <c r="F195" t="str">
        <f t="shared" si="16"/>
        <v/>
      </c>
      <c r="G195" s="1" t="str">
        <f t="shared" si="17"/>
        <v/>
      </c>
    </row>
    <row r="196" spans="4:7" x14ac:dyDescent="0.35">
      <c r="D196" s="1">
        <f t="shared" si="15"/>
        <v>0</v>
      </c>
      <c r="F196" t="str">
        <f t="shared" si="16"/>
        <v/>
      </c>
      <c r="G196" s="1" t="str">
        <f t="shared" si="17"/>
        <v/>
      </c>
    </row>
    <row r="197" spans="4:7" x14ac:dyDescent="0.35">
      <c r="D197" s="1">
        <f t="shared" si="15"/>
        <v>0</v>
      </c>
      <c r="F197" t="str">
        <f t="shared" si="16"/>
        <v/>
      </c>
      <c r="G197" s="1" t="str">
        <f t="shared" si="17"/>
        <v/>
      </c>
    </row>
    <row r="198" spans="4:7" x14ac:dyDescent="0.35">
      <c r="D198" s="1">
        <f t="shared" si="15"/>
        <v>0</v>
      </c>
      <c r="F198" t="str">
        <f t="shared" si="16"/>
        <v/>
      </c>
      <c r="G198" s="1" t="str">
        <f t="shared" si="17"/>
        <v/>
      </c>
    </row>
    <row r="199" spans="4:7" x14ac:dyDescent="0.35">
      <c r="D199" s="1">
        <f t="shared" si="15"/>
        <v>0</v>
      </c>
      <c r="F199" t="str">
        <f t="shared" si="16"/>
        <v/>
      </c>
      <c r="G199" s="1" t="str">
        <f t="shared" si="17"/>
        <v/>
      </c>
    </row>
    <row r="200" spans="4:7" x14ac:dyDescent="0.35">
      <c r="D200" s="1">
        <f t="shared" si="15"/>
        <v>0</v>
      </c>
      <c r="F200" t="str">
        <f t="shared" si="16"/>
        <v/>
      </c>
      <c r="G200" s="1" t="str">
        <f t="shared" si="17"/>
        <v/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19DA-024A-4E5C-9E70-B8F90D10A965}">
  <dimension ref="A1:H200"/>
  <sheetViews>
    <sheetView workbookViewId="0">
      <selection activeCell="G20" sqref="G20"/>
    </sheetView>
  </sheetViews>
  <sheetFormatPr baseColWidth="10" defaultRowHeight="14.5" x14ac:dyDescent="0.35"/>
  <cols>
    <col min="1" max="1" width="7.7265625" customWidth="1"/>
    <col min="2" max="2" width="13.08984375" customWidth="1"/>
    <col min="3" max="3" width="12.81640625" customWidth="1"/>
    <col min="4" max="4" width="14.54296875" customWidth="1"/>
    <col min="5" max="5" width="12" style="1" customWidth="1"/>
    <col min="6" max="6" width="12.36328125" style="1" customWidth="1"/>
    <col min="7" max="7" width="16.08984375" style="4" customWidth="1"/>
    <col min="8" max="8" width="20" customWidth="1"/>
  </cols>
  <sheetData>
    <row r="1" spans="1:8" x14ac:dyDescent="0.35">
      <c r="A1" t="s">
        <v>0</v>
      </c>
      <c r="B1" t="s">
        <v>22</v>
      </c>
      <c r="C1" t="s">
        <v>23</v>
      </c>
      <c r="D1" t="s">
        <v>24</v>
      </c>
      <c r="E1" s="1" t="s">
        <v>25</v>
      </c>
      <c r="F1" s="1" t="s">
        <v>26</v>
      </c>
      <c r="G1" s="4" t="s">
        <v>27</v>
      </c>
      <c r="H1" t="s">
        <v>28</v>
      </c>
    </row>
    <row r="2" spans="1:8" x14ac:dyDescent="0.35">
      <c r="A2" cm="1">
        <f t="array" ref="A2">_xlfn.UNIQUE(TableRaw[Tâche])</f>
        <v>0</v>
      </c>
      <c r="B2">
        <f>COUNTIF(TableRaw[Tâche], A2)</f>
        <v>0</v>
      </c>
      <c r="C2" s="1">
        <f>SUMIF(TableRaw[Tâche], A2, TableRaw[Durée (jours)])</f>
        <v>0</v>
      </c>
      <c r="D2" s="1" t="str">
        <f t="shared" ref="D2:D65" si="0">IF(B2=0,"",C2/B2)</f>
        <v/>
      </c>
      <c r="E2" s="1" cm="1">
        <f t="array" ref="E2">IFERROR(MIN(IF(TableRaw[Tâche]=A2,TableRaw[Durée (jours)])),"")</f>
        <v>0</v>
      </c>
      <c r="F2" s="1" t="str" cm="1">
        <f t="array" ref="F2">IFERROR(LARGE(IF(TableRaw[Tâche]=A2,TableRaw[Durée (jours)]),1),"")</f>
        <v/>
      </c>
      <c r="G2" s="4" t="str">
        <f t="shared" ref="G2:G33" si="1">IF($H$2=0,"",C2 / $H$2)</f>
        <v/>
      </c>
      <c r="H2" s="1">
        <f>SUM(TableRaw[Durée (jours)])</f>
        <v>0</v>
      </c>
    </row>
    <row r="3" spans="1:8" x14ac:dyDescent="0.35">
      <c r="A3" cm="1">
        <f t="array" ref="A3">_xlfn.UNIQUE(TableRaw[Tâche])</f>
        <v>0</v>
      </c>
      <c r="B3">
        <f>COUNTIF(TableRaw[Tâche], A3)</f>
        <v>0</v>
      </c>
      <c r="C3" s="1">
        <f>SUMIF(TableRaw[Tâche], A3, TableRaw[Durée (jours)])</f>
        <v>0</v>
      </c>
      <c r="D3" s="1" t="str">
        <f t="shared" si="0"/>
        <v/>
      </c>
      <c r="E3" s="1" cm="1">
        <f t="array" ref="E3">IFERROR(MIN(IF(TableRaw[Tâche]=A3,TableRaw[Durée (jours)])),"")</f>
        <v>0</v>
      </c>
      <c r="F3" s="1" t="str" cm="1">
        <f t="array" ref="F3">IFERROR(LARGE(IF(TableRaw[Tâche]=A3,TableRaw[Durée (jours)]),1),"")</f>
        <v/>
      </c>
      <c r="G3" s="4" t="str">
        <f t="shared" si="1"/>
        <v/>
      </c>
      <c r="H3" s="1">
        <f>SUM(TableRaw[Durée (jours)])</f>
        <v>0</v>
      </c>
    </row>
    <row r="4" spans="1:8" x14ac:dyDescent="0.35">
      <c r="A4" cm="1">
        <f t="array" ref="A4">_xlfn.UNIQUE(TableRaw[Tâche])</f>
        <v>0</v>
      </c>
      <c r="B4">
        <f>COUNTIF(TableRaw[Tâche], A4)</f>
        <v>0</v>
      </c>
      <c r="C4" s="1">
        <f>SUMIF(TableRaw[Tâche], A4, TableRaw[Durée (jours)])</f>
        <v>0</v>
      </c>
      <c r="D4" s="1" t="str">
        <f t="shared" si="0"/>
        <v/>
      </c>
      <c r="E4" s="1" cm="1">
        <f t="array" ref="E4">IFERROR(MIN(IF(TableRaw[Tâche]=A4,TableRaw[Durée (jours)])),"")</f>
        <v>0</v>
      </c>
      <c r="F4" s="1" t="str" cm="1">
        <f t="array" ref="F4">IFERROR(LARGE(IF(TableRaw[Tâche]=A4,TableRaw[Durée (jours)]),1),"")</f>
        <v/>
      </c>
      <c r="G4" s="4" t="str">
        <f t="shared" si="1"/>
        <v/>
      </c>
      <c r="H4" s="1">
        <f>SUM(TableRaw[Durée (jours)])</f>
        <v>0</v>
      </c>
    </row>
    <row r="5" spans="1:8" x14ac:dyDescent="0.35">
      <c r="A5" cm="1">
        <f t="array" ref="A5">_xlfn.UNIQUE(TableRaw[Tâche])</f>
        <v>0</v>
      </c>
      <c r="B5">
        <f>COUNTIF(TableRaw[Tâche], A5)</f>
        <v>0</v>
      </c>
      <c r="C5" s="1">
        <f>SUMIF(TableRaw[Tâche], A5, TableRaw[Durée (jours)])</f>
        <v>0</v>
      </c>
      <c r="D5" s="1" t="str">
        <f t="shared" si="0"/>
        <v/>
      </c>
      <c r="E5" s="1" cm="1">
        <f t="array" ref="E5">IFERROR(MIN(IF(TableRaw[Tâche]=A5,TableRaw[Durée (jours)])),"")</f>
        <v>0</v>
      </c>
      <c r="F5" s="1" t="str" cm="1">
        <f t="array" ref="F5">IFERROR(LARGE(IF(TableRaw[Tâche]=A5,TableRaw[Durée (jours)]),1),"")</f>
        <v/>
      </c>
      <c r="G5" s="4" t="str">
        <f t="shared" si="1"/>
        <v/>
      </c>
      <c r="H5" s="1">
        <f>SUM(TableRaw[Durée (jours)])</f>
        <v>0</v>
      </c>
    </row>
    <row r="6" spans="1:8" x14ac:dyDescent="0.35">
      <c r="A6" cm="1">
        <f t="array" ref="A6">_xlfn.UNIQUE(TableRaw[Tâche])</f>
        <v>0</v>
      </c>
      <c r="B6">
        <f>COUNTIF(TableRaw[Tâche], A6)</f>
        <v>0</v>
      </c>
      <c r="C6" s="1">
        <f>SUMIF(TableRaw[Tâche], A6, TableRaw[Durée (jours)])</f>
        <v>0</v>
      </c>
      <c r="D6" s="1" t="str">
        <f t="shared" si="0"/>
        <v/>
      </c>
      <c r="E6" s="1" cm="1">
        <f t="array" ref="E6">IFERROR(MIN(IF(TableRaw[Tâche]=A6,TableRaw[Durée (jours)])),"")</f>
        <v>0</v>
      </c>
      <c r="F6" s="1" t="str" cm="1">
        <f t="array" ref="F6">IFERROR(LARGE(IF(TableRaw[Tâche]=A6,TableRaw[Durée (jours)]),1),"")</f>
        <v/>
      </c>
      <c r="G6" s="4" t="str">
        <f t="shared" si="1"/>
        <v/>
      </c>
      <c r="H6" s="1">
        <f>SUM(TableRaw[Durée (jours)])</f>
        <v>0</v>
      </c>
    </row>
    <row r="7" spans="1:8" x14ac:dyDescent="0.35">
      <c r="A7" cm="1">
        <f t="array" ref="A7">_xlfn.UNIQUE(TableRaw[Tâche])</f>
        <v>0</v>
      </c>
      <c r="B7">
        <f>COUNTIF(TableRaw[Tâche], A7)</f>
        <v>0</v>
      </c>
      <c r="C7" s="1">
        <f>SUMIF(TableRaw[Tâche], A7, TableRaw[Durée (jours)])</f>
        <v>0</v>
      </c>
      <c r="D7" s="1" t="str">
        <f t="shared" si="0"/>
        <v/>
      </c>
      <c r="E7" s="1" cm="1">
        <f t="array" ref="E7">IFERROR(MIN(IF(TableRaw[Tâche]=A7,TableRaw[Durée (jours)])),"")</f>
        <v>0</v>
      </c>
      <c r="F7" s="1" t="str" cm="1">
        <f t="array" ref="F7">IFERROR(LARGE(IF(TableRaw[Tâche]=A7,TableRaw[Durée (jours)]),1),"")</f>
        <v/>
      </c>
      <c r="G7" s="4" t="str">
        <f t="shared" si="1"/>
        <v/>
      </c>
      <c r="H7" s="1">
        <f>SUM(TableRaw[Durée (jours)])</f>
        <v>0</v>
      </c>
    </row>
    <row r="8" spans="1:8" x14ac:dyDescent="0.35">
      <c r="A8" cm="1">
        <f t="array" ref="A8">_xlfn.UNIQUE(TableRaw[Tâche])</f>
        <v>0</v>
      </c>
      <c r="B8">
        <f>COUNTIF(TableRaw[Tâche], A8)</f>
        <v>0</v>
      </c>
      <c r="C8" s="1">
        <f>SUMIF(TableRaw[Tâche], A8, TableRaw[Durée (jours)])</f>
        <v>0</v>
      </c>
      <c r="D8" s="1" t="str">
        <f t="shared" si="0"/>
        <v/>
      </c>
      <c r="E8" s="1" cm="1">
        <f t="array" ref="E8">IFERROR(MIN(IF(TableRaw[Tâche]=A8,TableRaw[Durée (jours)])),"")</f>
        <v>0</v>
      </c>
      <c r="F8" s="1" t="str" cm="1">
        <f t="array" ref="F8">IFERROR(LARGE(IF(TableRaw[Tâche]=A8,TableRaw[Durée (jours)]),1),"")</f>
        <v/>
      </c>
      <c r="G8" s="4" t="str">
        <f t="shared" si="1"/>
        <v/>
      </c>
      <c r="H8" s="1">
        <f>SUM(TableRaw[Durée (jours)])</f>
        <v>0</v>
      </c>
    </row>
    <row r="9" spans="1:8" x14ac:dyDescent="0.35">
      <c r="A9" cm="1">
        <f t="array" ref="A9">_xlfn.UNIQUE(TableRaw[Tâche])</f>
        <v>0</v>
      </c>
      <c r="B9">
        <f>COUNTIF(TableRaw[Tâche], A9)</f>
        <v>0</v>
      </c>
      <c r="C9" s="1">
        <f>SUMIF(TableRaw[Tâche], A9, TableRaw[Durée (jours)])</f>
        <v>0</v>
      </c>
      <c r="D9" s="1" t="str">
        <f t="shared" si="0"/>
        <v/>
      </c>
      <c r="E9" s="1" cm="1">
        <f t="array" ref="E9">IFERROR(MIN(IF(TableRaw[Tâche]=A9,TableRaw[Durée (jours)])),"")</f>
        <v>0</v>
      </c>
      <c r="F9" s="1" t="str" cm="1">
        <f t="array" ref="F9">IFERROR(LARGE(IF(TableRaw[Tâche]=A9,TableRaw[Durée (jours)]),1),"")</f>
        <v/>
      </c>
      <c r="G9" s="4" t="str">
        <f t="shared" si="1"/>
        <v/>
      </c>
      <c r="H9" s="1">
        <f>SUM(TableRaw[Durée (jours)])</f>
        <v>0</v>
      </c>
    </row>
    <row r="10" spans="1:8" x14ac:dyDescent="0.35">
      <c r="A10" cm="1">
        <f t="array" ref="A10">_xlfn.UNIQUE(TableRaw[Tâche])</f>
        <v>0</v>
      </c>
      <c r="B10">
        <f>COUNTIF(TableRaw[Tâche], A10)</f>
        <v>0</v>
      </c>
      <c r="C10" s="1">
        <f>SUMIF(TableRaw[Tâche], A10, TableRaw[Durée (jours)])</f>
        <v>0</v>
      </c>
      <c r="D10" s="1" t="str">
        <f t="shared" si="0"/>
        <v/>
      </c>
      <c r="E10" s="1" cm="1">
        <f t="array" ref="E10">IFERROR(MIN(IF(TableRaw[Tâche]=A10,TableRaw[Durée (jours)])),"")</f>
        <v>0</v>
      </c>
      <c r="F10" s="1" t="str" cm="1">
        <f t="array" ref="F10">IFERROR(LARGE(IF(TableRaw[Tâche]=A10,TableRaw[Durée (jours)]),1),"")</f>
        <v/>
      </c>
      <c r="G10" s="4" t="str">
        <f t="shared" si="1"/>
        <v/>
      </c>
      <c r="H10" s="1">
        <f>SUM(TableRaw[Durée (jours)])</f>
        <v>0</v>
      </c>
    </row>
    <row r="11" spans="1:8" x14ac:dyDescent="0.35">
      <c r="A11" cm="1">
        <f t="array" ref="A11">_xlfn.UNIQUE(TableRaw[Tâche])</f>
        <v>0</v>
      </c>
      <c r="B11">
        <f>COUNTIF(TableRaw[Tâche], A11)</f>
        <v>0</v>
      </c>
      <c r="C11" s="1">
        <f>SUMIF(TableRaw[Tâche], A11, TableRaw[Durée (jours)])</f>
        <v>0</v>
      </c>
      <c r="D11" s="1" t="str">
        <f t="shared" si="0"/>
        <v/>
      </c>
      <c r="E11" s="1" cm="1">
        <f t="array" ref="E11">IFERROR(MIN(IF(TableRaw[Tâche]=A11,TableRaw[Durée (jours)])),"")</f>
        <v>0</v>
      </c>
      <c r="F11" s="1" t="str" cm="1">
        <f t="array" ref="F11">IFERROR(LARGE(IF(TableRaw[Tâche]=A11,TableRaw[Durée (jours)]),1),"")</f>
        <v/>
      </c>
      <c r="G11" s="4" t="str">
        <f t="shared" si="1"/>
        <v/>
      </c>
      <c r="H11" s="1">
        <f>SUM(TableRaw[Durée (jours)])</f>
        <v>0</v>
      </c>
    </row>
    <row r="12" spans="1:8" x14ac:dyDescent="0.35">
      <c r="A12" cm="1">
        <f t="array" ref="A12">_xlfn.UNIQUE(TableRaw[Tâche])</f>
        <v>0</v>
      </c>
      <c r="B12">
        <f>COUNTIF(TableRaw[Tâche], A12)</f>
        <v>0</v>
      </c>
      <c r="C12" s="1">
        <f>SUMIF(TableRaw[Tâche], A12, TableRaw[Durée (jours)])</f>
        <v>0</v>
      </c>
      <c r="D12" s="1" t="str">
        <f t="shared" si="0"/>
        <v/>
      </c>
      <c r="E12" s="1" cm="1">
        <f t="array" ref="E12">IFERROR(MIN(IF(TableRaw[Tâche]=A12,TableRaw[Durée (jours)])),"")</f>
        <v>0</v>
      </c>
      <c r="F12" s="1" t="str" cm="1">
        <f t="array" ref="F12">IFERROR(LARGE(IF(TableRaw[Tâche]=A12,TableRaw[Durée (jours)]),1),"")</f>
        <v/>
      </c>
      <c r="G12" s="4" t="str">
        <f t="shared" si="1"/>
        <v/>
      </c>
      <c r="H12" s="1">
        <f>SUM(TableRaw[Durée (jours)])</f>
        <v>0</v>
      </c>
    </row>
    <row r="13" spans="1:8" x14ac:dyDescent="0.35">
      <c r="A13" cm="1">
        <f t="array" ref="A13">_xlfn.UNIQUE(TableRaw[Tâche])</f>
        <v>0</v>
      </c>
      <c r="B13">
        <f>COUNTIF(TableRaw[Tâche], A13)</f>
        <v>0</v>
      </c>
      <c r="C13" s="1">
        <f>SUMIF(TableRaw[Tâche], A13, TableRaw[Durée (jours)])</f>
        <v>0</v>
      </c>
      <c r="D13" s="1" t="str">
        <f t="shared" si="0"/>
        <v/>
      </c>
      <c r="E13" s="1" cm="1">
        <f t="array" ref="E13">IFERROR(MIN(IF(TableRaw[Tâche]=A13,TableRaw[Durée (jours)])),"")</f>
        <v>0</v>
      </c>
      <c r="F13" s="1" t="str" cm="1">
        <f t="array" ref="F13">IFERROR(LARGE(IF(TableRaw[Tâche]=A13,TableRaw[Durée (jours)]),1),"")</f>
        <v/>
      </c>
      <c r="G13" s="4" t="str">
        <f t="shared" si="1"/>
        <v/>
      </c>
      <c r="H13" s="1">
        <f>SUM(TableRaw[Durée (jours)])</f>
        <v>0</v>
      </c>
    </row>
    <row r="14" spans="1:8" x14ac:dyDescent="0.35">
      <c r="A14" cm="1">
        <f t="array" ref="A14">_xlfn.UNIQUE(TableRaw[Tâche])</f>
        <v>0</v>
      </c>
      <c r="B14">
        <f>COUNTIF(TableRaw[Tâche], A14)</f>
        <v>0</v>
      </c>
      <c r="C14" s="1">
        <f>SUMIF(TableRaw[Tâche], A14, TableRaw[Durée (jours)])</f>
        <v>0</v>
      </c>
      <c r="D14" s="1" t="str">
        <f t="shared" si="0"/>
        <v/>
      </c>
      <c r="E14" s="1" cm="1">
        <f t="array" ref="E14">IFERROR(MIN(IF(TableRaw[Tâche]=A14,TableRaw[Durée (jours)])),"")</f>
        <v>0</v>
      </c>
      <c r="F14" s="1" t="str" cm="1">
        <f t="array" ref="F14">IFERROR(LARGE(IF(TableRaw[Tâche]=A14,TableRaw[Durée (jours)]),1),"")</f>
        <v/>
      </c>
      <c r="G14" s="4" t="str">
        <f t="shared" si="1"/>
        <v/>
      </c>
      <c r="H14" s="1">
        <f>SUM(TableRaw[Durée (jours)])</f>
        <v>0</v>
      </c>
    </row>
    <row r="15" spans="1:8" x14ac:dyDescent="0.35">
      <c r="A15" cm="1">
        <f t="array" ref="A15">_xlfn.UNIQUE(TableRaw[Tâche])</f>
        <v>0</v>
      </c>
      <c r="B15">
        <f>COUNTIF(TableRaw[Tâche], A15)</f>
        <v>0</v>
      </c>
      <c r="C15" s="1">
        <f>SUMIF(TableRaw[Tâche], A15, TableRaw[Durée (jours)])</f>
        <v>0</v>
      </c>
      <c r="D15" s="1" t="str">
        <f t="shared" si="0"/>
        <v/>
      </c>
      <c r="E15" s="1" cm="1">
        <f t="array" ref="E15">IFERROR(MIN(IF(TableRaw[Tâche]=A15,TableRaw[Durée (jours)])),"")</f>
        <v>0</v>
      </c>
      <c r="F15" s="1" t="str" cm="1">
        <f t="array" ref="F15">IFERROR(LARGE(IF(TableRaw[Tâche]=A15,TableRaw[Durée (jours)]),1),"")</f>
        <v/>
      </c>
      <c r="G15" s="4" t="str">
        <f t="shared" si="1"/>
        <v/>
      </c>
      <c r="H15" s="1">
        <f>SUM(TableRaw[Durée (jours)])</f>
        <v>0</v>
      </c>
    </row>
    <row r="16" spans="1:8" x14ac:dyDescent="0.35">
      <c r="A16" cm="1">
        <f t="array" ref="A16">_xlfn.UNIQUE(TableRaw[Tâche])</f>
        <v>0</v>
      </c>
      <c r="B16">
        <f>COUNTIF(TableRaw[Tâche], A16)</f>
        <v>0</v>
      </c>
      <c r="C16" s="1">
        <f>SUMIF(TableRaw[Tâche], A16, TableRaw[Durée (jours)])</f>
        <v>0</v>
      </c>
      <c r="D16" s="1" t="str">
        <f t="shared" si="0"/>
        <v/>
      </c>
      <c r="E16" s="1" cm="1">
        <f t="array" ref="E16">IFERROR(MIN(IF(TableRaw[Tâche]=A16,TableRaw[Durée (jours)])),"")</f>
        <v>0</v>
      </c>
      <c r="F16" s="1" t="str" cm="1">
        <f t="array" ref="F16">IFERROR(LARGE(IF(TableRaw[Tâche]=A16,TableRaw[Durée (jours)]),1),"")</f>
        <v/>
      </c>
      <c r="G16" s="4" t="str">
        <f t="shared" si="1"/>
        <v/>
      </c>
      <c r="H16" s="1">
        <f>SUM(TableRaw[Durée (jours)])</f>
        <v>0</v>
      </c>
    </row>
    <row r="17" spans="1:8" x14ac:dyDescent="0.35">
      <c r="A17" cm="1">
        <f t="array" ref="A17">_xlfn.UNIQUE(TableRaw[Tâche])</f>
        <v>0</v>
      </c>
      <c r="B17">
        <f>COUNTIF(TableRaw[Tâche], A17)</f>
        <v>0</v>
      </c>
      <c r="C17" s="1">
        <f>SUMIF(TableRaw[Tâche], A17, TableRaw[Durée (jours)])</f>
        <v>0</v>
      </c>
      <c r="D17" s="1" t="str">
        <f t="shared" si="0"/>
        <v/>
      </c>
      <c r="E17" s="1" cm="1">
        <f t="array" ref="E17">IFERROR(MIN(IF(TableRaw[Tâche]=A17,TableRaw[Durée (jours)])),"")</f>
        <v>0</v>
      </c>
      <c r="F17" s="1" t="str" cm="1">
        <f t="array" ref="F17">IFERROR(LARGE(IF(TableRaw[Tâche]=A17,TableRaw[Durée (jours)]),1),"")</f>
        <v/>
      </c>
      <c r="G17" s="4" t="str">
        <f t="shared" si="1"/>
        <v/>
      </c>
      <c r="H17" s="1">
        <f>SUM(TableRaw[Durée (jours)])</f>
        <v>0</v>
      </c>
    </row>
    <row r="18" spans="1:8" x14ac:dyDescent="0.35">
      <c r="A18" cm="1">
        <f t="array" ref="A18">_xlfn.UNIQUE(TableRaw[Tâche])</f>
        <v>0</v>
      </c>
      <c r="B18">
        <f>COUNTIF(TableRaw[Tâche], A18)</f>
        <v>0</v>
      </c>
      <c r="C18" s="1">
        <f>SUMIF(TableRaw[Tâche], A18, TableRaw[Durée (jours)])</f>
        <v>0</v>
      </c>
      <c r="D18" s="1" t="str">
        <f t="shared" si="0"/>
        <v/>
      </c>
      <c r="E18" s="1" cm="1">
        <f t="array" ref="E18">IFERROR(MIN(IF(TableRaw[Tâche]=A18,TableRaw[Durée (jours)])),"")</f>
        <v>0</v>
      </c>
      <c r="F18" s="1" t="str" cm="1">
        <f t="array" ref="F18">IFERROR(LARGE(IF(TableRaw[Tâche]=A18,TableRaw[Durée (jours)]),1),"")</f>
        <v/>
      </c>
      <c r="G18" s="4" t="str">
        <f t="shared" si="1"/>
        <v/>
      </c>
      <c r="H18" s="1">
        <f>SUM(TableRaw[Durée (jours)])</f>
        <v>0</v>
      </c>
    </row>
    <row r="19" spans="1:8" x14ac:dyDescent="0.35">
      <c r="A19" cm="1">
        <f t="array" ref="A19">_xlfn.UNIQUE(TableRaw[Tâche])</f>
        <v>0</v>
      </c>
      <c r="B19">
        <f>COUNTIF(TableRaw[Tâche], A19)</f>
        <v>0</v>
      </c>
      <c r="C19" s="1">
        <f>SUMIF(TableRaw[Tâche], A19, TableRaw[Durée (jours)])</f>
        <v>0</v>
      </c>
      <c r="D19" s="1" t="str">
        <f t="shared" si="0"/>
        <v/>
      </c>
      <c r="E19" s="1" cm="1">
        <f t="array" ref="E19">IFERROR(MIN(IF(TableRaw[Tâche]=A19,TableRaw[Durée (jours)])),"")</f>
        <v>0</v>
      </c>
      <c r="F19" s="1" t="str" cm="1">
        <f t="array" ref="F19">IFERROR(LARGE(IF(TableRaw[Tâche]=A19,TableRaw[Durée (jours)]),1),"")</f>
        <v/>
      </c>
      <c r="G19" s="4" t="str">
        <f t="shared" si="1"/>
        <v/>
      </c>
      <c r="H19" s="1">
        <f>SUM(TableRaw[Durée (jours)])</f>
        <v>0</v>
      </c>
    </row>
    <row r="20" spans="1:8" x14ac:dyDescent="0.35">
      <c r="A20" cm="1">
        <f t="array" ref="A20">_xlfn.UNIQUE(TableRaw[Tâche])</f>
        <v>0</v>
      </c>
      <c r="B20">
        <f>COUNTIF(TableRaw[Tâche], A20)</f>
        <v>0</v>
      </c>
      <c r="C20" s="1">
        <f>SUMIF(TableRaw[Tâche], A20, TableRaw[Durée (jours)])</f>
        <v>0</v>
      </c>
      <c r="D20" s="1" t="str">
        <f t="shared" si="0"/>
        <v/>
      </c>
      <c r="E20" s="1" cm="1">
        <f t="array" ref="E20">IFERROR(MIN(IF(TableRaw[Tâche]=A20,TableRaw[Durée (jours)])),"")</f>
        <v>0</v>
      </c>
      <c r="F20" s="1" t="str" cm="1">
        <f t="array" ref="F20">IFERROR(LARGE(IF(TableRaw[Tâche]=A20,TableRaw[Durée (jours)]),1),"")</f>
        <v/>
      </c>
      <c r="G20" s="4" t="str">
        <f t="shared" si="1"/>
        <v/>
      </c>
      <c r="H20" s="1">
        <f>SUM(TableRaw[Durée (jours)])</f>
        <v>0</v>
      </c>
    </row>
    <row r="21" spans="1:8" x14ac:dyDescent="0.35">
      <c r="A21" cm="1">
        <f t="array" ref="A21">_xlfn.UNIQUE(TableRaw[Tâche])</f>
        <v>0</v>
      </c>
      <c r="B21">
        <f>COUNTIF(TableRaw[Tâche], A21)</f>
        <v>0</v>
      </c>
      <c r="C21" s="1">
        <f>SUMIF(TableRaw[Tâche], A21, TableRaw[Durée (jours)])</f>
        <v>0</v>
      </c>
      <c r="D21" s="1" t="str">
        <f t="shared" si="0"/>
        <v/>
      </c>
      <c r="E21" s="1" cm="1">
        <f t="array" ref="E21">IFERROR(MIN(IF(TableRaw[Tâche]=A21,TableRaw[Durée (jours)])),"")</f>
        <v>0</v>
      </c>
      <c r="F21" s="1" t="str" cm="1">
        <f t="array" ref="F21">IFERROR(LARGE(IF(TableRaw[Tâche]=A21,TableRaw[Durée (jours)]),1),"")</f>
        <v/>
      </c>
      <c r="G21" s="4" t="str">
        <f t="shared" si="1"/>
        <v/>
      </c>
      <c r="H21" s="1">
        <f>SUM(TableRaw[Durée (jours)])</f>
        <v>0</v>
      </c>
    </row>
    <row r="22" spans="1:8" x14ac:dyDescent="0.35">
      <c r="A22" cm="1">
        <f t="array" ref="A22">_xlfn.UNIQUE(TableRaw[Tâche])</f>
        <v>0</v>
      </c>
      <c r="B22">
        <f>COUNTIF(TableRaw[Tâche], A22)</f>
        <v>0</v>
      </c>
      <c r="C22" s="1">
        <f>SUMIF(TableRaw[Tâche], A22, TableRaw[Durée (jours)])</f>
        <v>0</v>
      </c>
      <c r="D22" s="1" t="str">
        <f t="shared" si="0"/>
        <v/>
      </c>
      <c r="E22" s="1" cm="1">
        <f t="array" ref="E22">IFERROR(MIN(IF(TableRaw[Tâche]=A22,TableRaw[Durée (jours)])),"")</f>
        <v>0</v>
      </c>
      <c r="F22" s="1" t="str" cm="1">
        <f t="array" ref="F22">IFERROR(LARGE(IF(TableRaw[Tâche]=A22,TableRaw[Durée (jours)]),1),"")</f>
        <v/>
      </c>
      <c r="G22" s="4" t="str">
        <f t="shared" si="1"/>
        <v/>
      </c>
      <c r="H22" s="1">
        <f>SUM(TableRaw[Durée (jours)])</f>
        <v>0</v>
      </c>
    </row>
    <row r="23" spans="1:8" x14ac:dyDescent="0.35">
      <c r="A23" cm="1">
        <f t="array" ref="A23">_xlfn.UNIQUE(TableRaw[Tâche])</f>
        <v>0</v>
      </c>
      <c r="B23">
        <f>COUNTIF(TableRaw[Tâche], A23)</f>
        <v>0</v>
      </c>
      <c r="C23" s="1">
        <f>SUMIF(TableRaw[Tâche], A23, TableRaw[Durée (jours)])</f>
        <v>0</v>
      </c>
      <c r="D23" s="1" t="str">
        <f t="shared" si="0"/>
        <v/>
      </c>
      <c r="E23" s="1" cm="1">
        <f t="array" ref="E23">IFERROR(MIN(IF(TableRaw[Tâche]=A23,TableRaw[Durée (jours)])),"")</f>
        <v>0</v>
      </c>
      <c r="F23" s="1" t="str" cm="1">
        <f t="array" ref="F23">IFERROR(LARGE(IF(TableRaw[Tâche]=A23,TableRaw[Durée (jours)]),1),"")</f>
        <v/>
      </c>
      <c r="G23" s="4" t="str">
        <f t="shared" si="1"/>
        <v/>
      </c>
      <c r="H23" s="1">
        <f>SUM(TableRaw[Durée (jours)])</f>
        <v>0</v>
      </c>
    </row>
    <row r="24" spans="1:8" x14ac:dyDescent="0.35">
      <c r="A24" cm="1">
        <f t="array" ref="A24">_xlfn.UNIQUE(TableRaw[Tâche])</f>
        <v>0</v>
      </c>
      <c r="B24">
        <f>COUNTIF(TableRaw[Tâche], A24)</f>
        <v>0</v>
      </c>
      <c r="C24" s="1">
        <f>SUMIF(TableRaw[Tâche], A24, TableRaw[Durée (jours)])</f>
        <v>0</v>
      </c>
      <c r="D24" s="1" t="str">
        <f t="shared" si="0"/>
        <v/>
      </c>
      <c r="E24" s="1" cm="1">
        <f t="array" ref="E24">IFERROR(MIN(IF(TableRaw[Tâche]=A24,TableRaw[Durée (jours)])),"")</f>
        <v>0</v>
      </c>
      <c r="F24" s="1" t="str" cm="1">
        <f t="array" ref="F24">IFERROR(LARGE(IF(TableRaw[Tâche]=A24,TableRaw[Durée (jours)]),1),"")</f>
        <v/>
      </c>
      <c r="G24" s="4" t="str">
        <f t="shared" si="1"/>
        <v/>
      </c>
      <c r="H24" s="1">
        <f>SUM(TableRaw[Durée (jours)])</f>
        <v>0</v>
      </c>
    </row>
    <row r="25" spans="1:8" x14ac:dyDescent="0.35">
      <c r="A25" cm="1">
        <f t="array" ref="A25">_xlfn.UNIQUE(TableRaw[Tâche])</f>
        <v>0</v>
      </c>
      <c r="B25">
        <f>COUNTIF(TableRaw[Tâche], A25)</f>
        <v>0</v>
      </c>
      <c r="C25" s="1">
        <f>SUMIF(TableRaw[Tâche], A25, TableRaw[Durée (jours)])</f>
        <v>0</v>
      </c>
      <c r="D25" s="1" t="str">
        <f t="shared" si="0"/>
        <v/>
      </c>
      <c r="E25" s="1" cm="1">
        <f t="array" ref="E25">IFERROR(MIN(IF(TableRaw[Tâche]=A25,TableRaw[Durée (jours)])),"")</f>
        <v>0</v>
      </c>
      <c r="F25" s="1" t="str" cm="1">
        <f t="array" ref="F25">IFERROR(LARGE(IF(TableRaw[Tâche]=A25,TableRaw[Durée (jours)]),1),"")</f>
        <v/>
      </c>
      <c r="G25" s="4" t="str">
        <f t="shared" si="1"/>
        <v/>
      </c>
      <c r="H25" s="1">
        <f>SUM(TableRaw[Durée (jours)])</f>
        <v>0</v>
      </c>
    </row>
    <row r="26" spans="1:8" x14ac:dyDescent="0.35">
      <c r="A26" cm="1">
        <f t="array" ref="A26">_xlfn.UNIQUE(TableRaw[Tâche])</f>
        <v>0</v>
      </c>
      <c r="B26">
        <f>COUNTIF(TableRaw[Tâche], A26)</f>
        <v>0</v>
      </c>
      <c r="C26" s="1">
        <f>SUMIF(TableRaw[Tâche], A26, TableRaw[Durée (jours)])</f>
        <v>0</v>
      </c>
      <c r="D26" s="1" t="str">
        <f t="shared" si="0"/>
        <v/>
      </c>
      <c r="E26" s="1" cm="1">
        <f t="array" ref="E26">IFERROR(MIN(IF(TableRaw[Tâche]=A26,TableRaw[Durée (jours)])),"")</f>
        <v>0</v>
      </c>
      <c r="F26" s="1" t="str" cm="1">
        <f t="array" ref="F26">IFERROR(LARGE(IF(TableRaw[Tâche]=A26,TableRaw[Durée (jours)]),1),"")</f>
        <v/>
      </c>
      <c r="G26" s="4" t="str">
        <f t="shared" si="1"/>
        <v/>
      </c>
      <c r="H26" s="1">
        <f>SUM(TableRaw[Durée (jours)])</f>
        <v>0</v>
      </c>
    </row>
    <row r="27" spans="1:8" x14ac:dyDescent="0.35">
      <c r="A27" cm="1">
        <f t="array" ref="A27">_xlfn.UNIQUE(TableRaw[Tâche])</f>
        <v>0</v>
      </c>
      <c r="B27">
        <f>COUNTIF(TableRaw[Tâche], A27)</f>
        <v>0</v>
      </c>
      <c r="C27" s="1">
        <f>SUMIF(TableRaw[Tâche], A27, TableRaw[Durée (jours)])</f>
        <v>0</v>
      </c>
      <c r="D27" s="1" t="str">
        <f t="shared" si="0"/>
        <v/>
      </c>
      <c r="E27" s="1" cm="1">
        <f t="array" ref="E27">IFERROR(MIN(IF(TableRaw[Tâche]=A27,TableRaw[Durée (jours)])),"")</f>
        <v>0</v>
      </c>
      <c r="F27" s="1" t="str" cm="1">
        <f t="array" ref="F27">IFERROR(LARGE(IF(TableRaw[Tâche]=A27,TableRaw[Durée (jours)]),1),"")</f>
        <v/>
      </c>
      <c r="G27" s="4" t="str">
        <f t="shared" si="1"/>
        <v/>
      </c>
      <c r="H27" s="1">
        <f>SUM(TableRaw[Durée (jours)])</f>
        <v>0</v>
      </c>
    </row>
    <row r="28" spans="1:8" x14ac:dyDescent="0.35">
      <c r="A28" cm="1">
        <f t="array" ref="A28">_xlfn.UNIQUE(TableRaw[Tâche])</f>
        <v>0</v>
      </c>
      <c r="B28">
        <f>COUNTIF(TableRaw[Tâche], A28)</f>
        <v>0</v>
      </c>
      <c r="C28" s="1">
        <f>SUMIF(TableRaw[Tâche], A28, TableRaw[Durée (jours)])</f>
        <v>0</v>
      </c>
      <c r="D28" s="1" t="str">
        <f t="shared" si="0"/>
        <v/>
      </c>
      <c r="E28" s="1" cm="1">
        <f t="array" ref="E28">IFERROR(MIN(IF(TableRaw[Tâche]=A28,TableRaw[Durée (jours)])),"")</f>
        <v>0</v>
      </c>
      <c r="F28" s="1" t="str" cm="1">
        <f t="array" ref="F28">IFERROR(LARGE(IF(TableRaw[Tâche]=A28,TableRaw[Durée (jours)]),1),"")</f>
        <v/>
      </c>
      <c r="G28" s="4" t="str">
        <f t="shared" si="1"/>
        <v/>
      </c>
      <c r="H28" s="1">
        <f>SUM(TableRaw[Durée (jours)])</f>
        <v>0</v>
      </c>
    </row>
    <row r="29" spans="1:8" x14ac:dyDescent="0.35">
      <c r="A29" cm="1">
        <f t="array" ref="A29">_xlfn.UNIQUE(TableRaw[Tâche])</f>
        <v>0</v>
      </c>
      <c r="B29">
        <f>COUNTIF(TableRaw[Tâche], A29)</f>
        <v>0</v>
      </c>
      <c r="C29" s="1">
        <f>SUMIF(TableRaw[Tâche], A29, TableRaw[Durée (jours)])</f>
        <v>0</v>
      </c>
      <c r="D29" s="1" t="str">
        <f t="shared" si="0"/>
        <v/>
      </c>
      <c r="E29" s="1" cm="1">
        <f t="array" ref="E29">IFERROR(MIN(IF(TableRaw[Tâche]=A29,TableRaw[Durée (jours)])),"")</f>
        <v>0</v>
      </c>
      <c r="F29" s="1" t="str" cm="1">
        <f t="array" ref="F29">IFERROR(LARGE(IF(TableRaw[Tâche]=A29,TableRaw[Durée (jours)]),1),"")</f>
        <v/>
      </c>
      <c r="G29" s="4" t="str">
        <f t="shared" si="1"/>
        <v/>
      </c>
      <c r="H29" s="1">
        <f>SUM(TableRaw[Durée (jours)])</f>
        <v>0</v>
      </c>
    </row>
    <row r="30" spans="1:8" x14ac:dyDescent="0.35">
      <c r="A30" cm="1">
        <f t="array" ref="A30">_xlfn.UNIQUE(TableRaw[Tâche])</f>
        <v>0</v>
      </c>
      <c r="B30">
        <f>COUNTIF(TableRaw[Tâche], A30)</f>
        <v>0</v>
      </c>
      <c r="C30" s="1">
        <f>SUMIF(TableRaw[Tâche], A30, TableRaw[Durée (jours)])</f>
        <v>0</v>
      </c>
      <c r="D30" s="1" t="str">
        <f t="shared" si="0"/>
        <v/>
      </c>
      <c r="E30" s="1" cm="1">
        <f t="array" ref="E30">IFERROR(MIN(IF(TableRaw[Tâche]=A30,TableRaw[Durée (jours)])),"")</f>
        <v>0</v>
      </c>
      <c r="F30" s="1" t="str" cm="1">
        <f t="array" ref="F30">IFERROR(LARGE(IF(TableRaw[Tâche]=A30,TableRaw[Durée (jours)]),1),"")</f>
        <v/>
      </c>
      <c r="G30" s="4" t="str">
        <f t="shared" si="1"/>
        <v/>
      </c>
      <c r="H30" s="1">
        <f>SUM(TableRaw[Durée (jours)])</f>
        <v>0</v>
      </c>
    </row>
    <row r="31" spans="1:8" x14ac:dyDescent="0.35">
      <c r="A31" cm="1">
        <f t="array" ref="A31">_xlfn.UNIQUE(TableRaw[Tâche])</f>
        <v>0</v>
      </c>
      <c r="B31">
        <f>COUNTIF(TableRaw[Tâche], A31)</f>
        <v>0</v>
      </c>
      <c r="C31" s="1">
        <f>SUMIF(TableRaw[Tâche], A31, TableRaw[Durée (jours)])</f>
        <v>0</v>
      </c>
      <c r="D31" s="1" t="str">
        <f t="shared" si="0"/>
        <v/>
      </c>
      <c r="E31" s="1" cm="1">
        <f t="array" ref="E31">IFERROR(MIN(IF(TableRaw[Tâche]=A31,TableRaw[Durée (jours)])),"")</f>
        <v>0</v>
      </c>
      <c r="F31" s="1" t="str" cm="1">
        <f t="array" ref="F31">IFERROR(LARGE(IF(TableRaw[Tâche]=A31,TableRaw[Durée (jours)]),1),"")</f>
        <v/>
      </c>
      <c r="G31" s="4" t="str">
        <f t="shared" si="1"/>
        <v/>
      </c>
      <c r="H31" s="1">
        <f>SUM(TableRaw[Durée (jours)])</f>
        <v>0</v>
      </c>
    </row>
    <row r="32" spans="1:8" x14ac:dyDescent="0.35">
      <c r="A32" cm="1">
        <f t="array" ref="A32">_xlfn.UNIQUE(TableRaw[Tâche])</f>
        <v>0</v>
      </c>
      <c r="B32">
        <f>COUNTIF(TableRaw[Tâche], A32)</f>
        <v>0</v>
      </c>
      <c r="C32" s="1">
        <f>SUMIF(TableRaw[Tâche], A32, TableRaw[Durée (jours)])</f>
        <v>0</v>
      </c>
      <c r="D32" s="1" t="str">
        <f t="shared" si="0"/>
        <v/>
      </c>
      <c r="E32" s="1" cm="1">
        <f t="array" ref="E32">IFERROR(MIN(IF(TableRaw[Tâche]=A32,TableRaw[Durée (jours)])),"")</f>
        <v>0</v>
      </c>
      <c r="F32" s="1" t="str" cm="1">
        <f t="array" ref="F32">IFERROR(LARGE(IF(TableRaw[Tâche]=A32,TableRaw[Durée (jours)]),1),"")</f>
        <v/>
      </c>
      <c r="G32" s="4" t="str">
        <f t="shared" si="1"/>
        <v/>
      </c>
      <c r="H32" s="1">
        <f>SUM(TableRaw[Durée (jours)])</f>
        <v>0</v>
      </c>
    </row>
    <row r="33" spans="1:8" x14ac:dyDescent="0.35">
      <c r="A33" cm="1">
        <f t="array" ref="A33">_xlfn.UNIQUE(TableRaw[Tâche])</f>
        <v>0</v>
      </c>
      <c r="B33">
        <f>COUNTIF(TableRaw[Tâche], A33)</f>
        <v>0</v>
      </c>
      <c r="C33" s="1">
        <f>SUMIF(TableRaw[Tâche], A33, TableRaw[Durée (jours)])</f>
        <v>0</v>
      </c>
      <c r="D33" s="1" t="str">
        <f t="shared" si="0"/>
        <v/>
      </c>
      <c r="E33" s="1" cm="1">
        <f t="array" ref="E33">IFERROR(MIN(IF(TableRaw[Tâche]=A33,TableRaw[Durée (jours)])),"")</f>
        <v>0</v>
      </c>
      <c r="F33" s="1" t="str" cm="1">
        <f t="array" ref="F33">IFERROR(LARGE(IF(TableRaw[Tâche]=A33,TableRaw[Durée (jours)]),1),"")</f>
        <v/>
      </c>
      <c r="G33" s="4" t="str">
        <f t="shared" si="1"/>
        <v/>
      </c>
      <c r="H33" s="1">
        <f>SUM(TableRaw[Durée (jours)])</f>
        <v>0</v>
      </c>
    </row>
    <row r="34" spans="1:8" x14ac:dyDescent="0.35">
      <c r="A34" cm="1">
        <f t="array" ref="A34">_xlfn.UNIQUE(TableRaw[Tâche])</f>
        <v>0</v>
      </c>
      <c r="B34">
        <f>COUNTIF(TableRaw[Tâche], A34)</f>
        <v>0</v>
      </c>
      <c r="C34" s="1">
        <f>SUMIF(TableRaw[Tâche], A34, TableRaw[Durée (jours)])</f>
        <v>0</v>
      </c>
      <c r="D34" s="1" t="str">
        <f t="shared" si="0"/>
        <v/>
      </c>
      <c r="E34" s="1" cm="1">
        <f t="array" ref="E34">IFERROR(MIN(IF(TableRaw[Tâche]=A34,TableRaw[Durée (jours)])),"")</f>
        <v>0</v>
      </c>
      <c r="F34" s="1" t="str" cm="1">
        <f t="array" ref="F34">IFERROR(LARGE(IF(TableRaw[Tâche]=A34,TableRaw[Durée (jours)]),1),"")</f>
        <v/>
      </c>
      <c r="G34" s="4" t="str">
        <f t="shared" ref="G34:G65" si="2">IF($H$2=0,"",C34 / $H$2)</f>
        <v/>
      </c>
      <c r="H34" s="1">
        <f>SUM(TableRaw[Durée (jours)])</f>
        <v>0</v>
      </c>
    </row>
    <row r="35" spans="1:8" x14ac:dyDescent="0.35">
      <c r="A35" cm="1">
        <f t="array" ref="A35">_xlfn.UNIQUE(TableRaw[Tâche])</f>
        <v>0</v>
      </c>
      <c r="B35">
        <f>COUNTIF(TableRaw[Tâche], A35)</f>
        <v>0</v>
      </c>
      <c r="C35" s="1">
        <f>SUMIF(TableRaw[Tâche], A35, TableRaw[Durée (jours)])</f>
        <v>0</v>
      </c>
      <c r="D35" s="1" t="str">
        <f t="shared" si="0"/>
        <v/>
      </c>
      <c r="E35" s="1" cm="1">
        <f t="array" ref="E35">IFERROR(MIN(IF(TableRaw[Tâche]=A35,TableRaw[Durée (jours)])),"")</f>
        <v>0</v>
      </c>
      <c r="F35" s="1" t="str" cm="1">
        <f t="array" ref="F35">IFERROR(LARGE(IF(TableRaw[Tâche]=A35,TableRaw[Durée (jours)]),1),"")</f>
        <v/>
      </c>
      <c r="G35" s="4" t="str">
        <f t="shared" si="2"/>
        <v/>
      </c>
      <c r="H35" s="1">
        <f>SUM(TableRaw[Durée (jours)])</f>
        <v>0</v>
      </c>
    </row>
    <row r="36" spans="1:8" x14ac:dyDescent="0.35">
      <c r="A36" cm="1">
        <f t="array" ref="A36">_xlfn.UNIQUE(TableRaw[Tâche])</f>
        <v>0</v>
      </c>
      <c r="B36">
        <f>COUNTIF(TableRaw[Tâche], A36)</f>
        <v>0</v>
      </c>
      <c r="C36" s="1">
        <f>SUMIF(TableRaw[Tâche], A36, TableRaw[Durée (jours)])</f>
        <v>0</v>
      </c>
      <c r="D36" s="1" t="str">
        <f t="shared" si="0"/>
        <v/>
      </c>
      <c r="E36" s="1" cm="1">
        <f t="array" ref="E36">IFERROR(MIN(IF(TableRaw[Tâche]=A36,TableRaw[Durée (jours)])),"")</f>
        <v>0</v>
      </c>
      <c r="F36" s="1" t="str" cm="1">
        <f t="array" ref="F36">IFERROR(LARGE(IF(TableRaw[Tâche]=A36,TableRaw[Durée (jours)]),1),"")</f>
        <v/>
      </c>
      <c r="G36" s="4" t="str">
        <f t="shared" si="2"/>
        <v/>
      </c>
      <c r="H36" s="1">
        <f>SUM(TableRaw[Durée (jours)])</f>
        <v>0</v>
      </c>
    </row>
    <row r="37" spans="1:8" x14ac:dyDescent="0.35">
      <c r="A37" cm="1">
        <f t="array" ref="A37">_xlfn.UNIQUE(TableRaw[Tâche])</f>
        <v>0</v>
      </c>
      <c r="B37">
        <f>COUNTIF(TableRaw[Tâche], A37)</f>
        <v>0</v>
      </c>
      <c r="C37" s="1">
        <f>SUMIF(TableRaw[Tâche], A37, TableRaw[Durée (jours)])</f>
        <v>0</v>
      </c>
      <c r="D37" s="1" t="str">
        <f t="shared" si="0"/>
        <v/>
      </c>
      <c r="E37" s="1" cm="1">
        <f t="array" ref="E37">IFERROR(MIN(IF(TableRaw[Tâche]=A37,TableRaw[Durée (jours)])),"")</f>
        <v>0</v>
      </c>
      <c r="F37" s="1" t="str" cm="1">
        <f t="array" ref="F37">IFERROR(LARGE(IF(TableRaw[Tâche]=A37,TableRaw[Durée (jours)]),1),"")</f>
        <v/>
      </c>
      <c r="G37" s="4" t="str">
        <f t="shared" si="2"/>
        <v/>
      </c>
      <c r="H37" s="1">
        <f>SUM(TableRaw[Durée (jours)])</f>
        <v>0</v>
      </c>
    </row>
    <row r="38" spans="1:8" x14ac:dyDescent="0.35">
      <c r="A38" cm="1">
        <f t="array" ref="A38">_xlfn.UNIQUE(TableRaw[Tâche])</f>
        <v>0</v>
      </c>
      <c r="B38">
        <f>COUNTIF(TableRaw[Tâche], A38)</f>
        <v>0</v>
      </c>
      <c r="C38" s="1">
        <f>SUMIF(TableRaw[Tâche], A38, TableRaw[Durée (jours)])</f>
        <v>0</v>
      </c>
      <c r="D38" s="1" t="str">
        <f t="shared" si="0"/>
        <v/>
      </c>
      <c r="E38" s="1" cm="1">
        <f t="array" ref="E38">IFERROR(MIN(IF(TableRaw[Tâche]=A38,TableRaw[Durée (jours)])),"")</f>
        <v>0</v>
      </c>
      <c r="F38" s="1" t="str" cm="1">
        <f t="array" ref="F38">IFERROR(LARGE(IF(TableRaw[Tâche]=A38,TableRaw[Durée (jours)]),1),"")</f>
        <v/>
      </c>
      <c r="G38" s="4" t="str">
        <f t="shared" si="2"/>
        <v/>
      </c>
      <c r="H38" s="1">
        <f>SUM(TableRaw[Durée (jours)])</f>
        <v>0</v>
      </c>
    </row>
    <row r="39" spans="1:8" x14ac:dyDescent="0.35">
      <c r="A39" cm="1">
        <f t="array" ref="A39">_xlfn.UNIQUE(TableRaw[Tâche])</f>
        <v>0</v>
      </c>
      <c r="B39">
        <f>COUNTIF(TableRaw[Tâche], A39)</f>
        <v>0</v>
      </c>
      <c r="C39" s="1">
        <f>SUMIF(TableRaw[Tâche], A39, TableRaw[Durée (jours)])</f>
        <v>0</v>
      </c>
      <c r="D39" s="1" t="str">
        <f t="shared" si="0"/>
        <v/>
      </c>
      <c r="E39" s="1" cm="1">
        <f t="array" ref="E39">IFERROR(MIN(IF(TableRaw[Tâche]=A39,TableRaw[Durée (jours)])),"")</f>
        <v>0</v>
      </c>
      <c r="F39" s="1" t="str" cm="1">
        <f t="array" ref="F39">IFERROR(LARGE(IF(TableRaw[Tâche]=A39,TableRaw[Durée (jours)]),1),"")</f>
        <v/>
      </c>
      <c r="G39" s="4" t="str">
        <f t="shared" si="2"/>
        <v/>
      </c>
      <c r="H39" s="1">
        <f>SUM(TableRaw[Durée (jours)])</f>
        <v>0</v>
      </c>
    </row>
    <row r="40" spans="1:8" x14ac:dyDescent="0.35">
      <c r="A40" cm="1">
        <f t="array" ref="A40">_xlfn.UNIQUE(TableRaw[Tâche])</f>
        <v>0</v>
      </c>
      <c r="B40">
        <f>COUNTIF(TableRaw[Tâche], A40)</f>
        <v>0</v>
      </c>
      <c r="C40" s="1">
        <f>SUMIF(TableRaw[Tâche], A40, TableRaw[Durée (jours)])</f>
        <v>0</v>
      </c>
      <c r="D40" s="1" t="str">
        <f t="shared" si="0"/>
        <v/>
      </c>
      <c r="E40" s="1" cm="1">
        <f t="array" ref="E40">IFERROR(MIN(IF(TableRaw[Tâche]=A40,TableRaw[Durée (jours)])),"")</f>
        <v>0</v>
      </c>
      <c r="F40" s="1" t="str" cm="1">
        <f t="array" ref="F40">IFERROR(LARGE(IF(TableRaw[Tâche]=A40,TableRaw[Durée (jours)]),1),"")</f>
        <v/>
      </c>
      <c r="G40" s="4" t="str">
        <f t="shared" si="2"/>
        <v/>
      </c>
      <c r="H40" s="1">
        <f>SUM(TableRaw[Durée (jours)])</f>
        <v>0</v>
      </c>
    </row>
    <row r="41" spans="1:8" x14ac:dyDescent="0.35">
      <c r="A41" cm="1">
        <f t="array" ref="A41">_xlfn.UNIQUE(TableRaw[Tâche])</f>
        <v>0</v>
      </c>
      <c r="B41">
        <f>COUNTIF(TableRaw[Tâche], A41)</f>
        <v>0</v>
      </c>
      <c r="C41" s="1">
        <f>SUMIF(TableRaw[Tâche], A41, TableRaw[Durée (jours)])</f>
        <v>0</v>
      </c>
      <c r="D41" s="1" t="str">
        <f t="shared" si="0"/>
        <v/>
      </c>
      <c r="E41" s="1" cm="1">
        <f t="array" ref="E41">IFERROR(MIN(IF(TableRaw[Tâche]=A41,TableRaw[Durée (jours)])),"")</f>
        <v>0</v>
      </c>
      <c r="F41" s="1" t="str" cm="1">
        <f t="array" ref="F41">IFERROR(LARGE(IF(TableRaw[Tâche]=A41,TableRaw[Durée (jours)]),1),"")</f>
        <v/>
      </c>
      <c r="G41" s="4" t="str">
        <f t="shared" si="2"/>
        <v/>
      </c>
      <c r="H41" s="1">
        <f>SUM(TableRaw[Durée (jours)])</f>
        <v>0</v>
      </c>
    </row>
    <row r="42" spans="1:8" x14ac:dyDescent="0.35">
      <c r="A42" cm="1">
        <f t="array" ref="A42">_xlfn.UNIQUE(TableRaw[Tâche])</f>
        <v>0</v>
      </c>
      <c r="B42">
        <f>COUNTIF(TableRaw[Tâche], A42)</f>
        <v>0</v>
      </c>
      <c r="C42" s="1">
        <f>SUMIF(TableRaw[Tâche], A42, TableRaw[Durée (jours)])</f>
        <v>0</v>
      </c>
      <c r="D42" s="1" t="str">
        <f t="shared" si="0"/>
        <v/>
      </c>
      <c r="E42" s="1" cm="1">
        <f t="array" ref="E42">IFERROR(MIN(IF(TableRaw[Tâche]=A42,TableRaw[Durée (jours)])),"")</f>
        <v>0</v>
      </c>
      <c r="F42" s="1" t="str" cm="1">
        <f t="array" ref="F42">IFERROR(LARGE(IF(TableRaw[Tâche]=A42,TableRaw[Durée (jours)]),1),"")</f>
        <v/>
      </c>
      <c r="G42" s="4" t="str">
        <f t="shared" si="2"/>
        <v/>
      </c>
      <c r="H42" s="1">
        <f>SUM(TableRaw[Durée (jours)])</f>
        <v>0</v>
      </c>
    </row>
    <row r="43" spans="1:8" x14ac:dyDescent="0.35">
      <c r="A43" cm="1">
        <f t="array" ref="A43">_xlfn.UNIQUE(TableRaw[Tâche])</f>
        <v>0</v>
      </c>
      <c r="B43">
        <f>COUNTIF(TableRaw[Tâche], A43)</f>
        <v>0</v>
      </c>
      <c r="C43" s="1">
        <f>SUMIF(TableRaw[Tâche], A43, TableRaw[Durée (jours)])</f>
        <v>0</v>
      </c>
      <c r="D43" s="1" t="str">
        <f t="shared" si="0"/>
        <v/>
      </c>
      <c r="E43" s="1" cm="1">
        <f t="array" ref="E43">IFERROR(MIN(IF(TableRaw[Tâche]=A43,TableRaw[Durée (jours)])),"")</f>
        <v>0</v>
      </c>
      <c r="F43" s="1" t="str" cm="1">
        <f t="array" ref="F43">IFERROR(LARGE(IF(TableRaw[Tâche]=A43,TableRaw[Durée (jours)]),1),"")</f>
        <v/>
      </c>
      <c r="G43" s="4" t="str">
        <f t="shared" si="2"/>
        <v/>
      </c>
      <c r="H43" s="1">
        <f>SUM(TableRaw[Durée (jours)])</f>
        <v>0</v>
      </c>
    </row>
    <row r="44" spans="1:8" x14ac:dyDescent="0.35">
      <c r="A44" cm="1">
        <f t="array" ref="A44">_xlfn.UNIQUE(TableRaw[Tâche])</f>
        <v>0</v>
      </c>
      <c r="B44">
        <f>COUNTIF(TableRaw[Tâche], A44)</f>
        <v>0</v>
      </c>
      <c r="C44" s="1">
        <f>SUMIF(TableRaw[Tâche], A44, TableRaw[Durée (jours)])</f>
        <v>0</v>
      </c>
      <c r="D44" s="1" t="str">
        <f t="shared" si="0"/>
        <v/>
      </c>
      <c r="E44" s="1" cm="1">
        <f t="array" ref="E44">IFERROR(MIN(IF(TableRaw[Tâche]=A44,TableRaw[Durée (jours)])),"")</f>
        <v>0</v>
      </c>
      <c r="F44" s="1" t="str" cm="1">
        <f t="array" ref="F44">IFERROR(LARGE(IF(TableRaw[Tâche]=A44,TableRaw[Durée (jours)]),1),"")</f>
        <v/>
      </c>
      <c r="G44" s="4" t="str">
        <f t="shared" si="2"/>
        <v/>
      </c>
      <c r="H44" s="1">
        <f>SUM(TableRaw[Durée (jours)])</f>
        <v>0</v>
      </c>
    </row>
    <row r="45" spans="1:8" x14ac:dyDescent="0.35">
      <c r="A45" cm="1">
        <f t="array" ref="A45">_xlfn.UNIQUE(TableRaw[Tâche])</f>
        <v>0</v>
      </c>
      <c r="B45">
        <f>COUNTIF(TableRaw[Tâche], A45)</f>
        <v>0</v>
      </c>
      <c r="C45" s="1">
        <f>SUMIF(TableRaw[Tâche], A45, TableRaw[Durée (jours)])</f>
        <v>0</v>
      </c>
      <c r="D45" s="1" t="str">
        <f t="shared" si="0"/>
        <v/>
      </c>
      <c r="E45" s="1" cm="1">
        <f t="array" ref="E45">IFERROR(MIN(IF(TableRaw[Tâche]=A45,TableRaw[Durée (jours)])),"")</f>
        <v>0</v>
      </c>
      <c r="F45" s="1" t="str" cm="1">
        <f t="array" ref="F45">IFERROR(LARGE(IF(TableRaw[Tâche]=A45,TableRaw[Durée (jours)]),1),"")</f>
        <v/>
      </c>
      <c r="G45" s="4" t="str">
        <f t="shared" si="2"/>
        <v/>
      </c>
      <c r="H45" s="1">
        <f>SUM(TableRaw[Durée (jours)])</f>
        <v>0</v>
      </c>
    </row>
    <row r="46" spans="1:8" x14ac:dyDescent="0.35">
      <c r="A46" cm="1">
        <f t="array" ref="A46">_xlfn.UNIQUE(TableRaw[Tâche])</f>
        <v>0</v>
      </c>
      <c r="B46">
        <f>COUNTIF(TableRaw[Tâche], A46)</f>
        <v>0</v>
      </c>
      <c r="C46" s="1">
        <f>SUMIF(TableRaw[Tâche], A46, TableRaw[Durée (jours)])</f>
        <v>0</v>
      </c>
      <c r="D46" s="1" t="str">
        <f t="shared" si="0"/>
        <v/>
      </c>
      <c r="E46" s="1" cm="1">
        <f t="array" ref="E46">IFERROR(MIN(IF(TableRaw[Tâche]=A46,TableRaw[Durée (jours)])),"")</f>
        <v>0</v>
      </c>
      <c r="F46" s="1" t="str" cm="1">
        <f t="array" ref="F46">IFERROR(LARGE(IF(TableRaw[Tâche]=A46,TableRaw[Durée (jours)]),1),"")</f>
        <v/>
      </c>
      <c r="G46" s="4" t="str">
        <f t="shared" si="2"/>
        <v/>
      </c>
      <c r="H46" s="1">
        <f>SUM(TableRaw[Durée (jours)])</f>
        <v>0</v>
      </c>
    </row>
    <row r="47" spans="1:8" x14ac:dyDescent="0.35">
      <c r="A47" cm="1">
        <f t="array" ref="A47">_xlfn.UNIQUE(TableRaw[Tâche])</f>
        <v>0</v>
      </c>
      <c r="B47">
        <f>COUNTIF(TableRaw[Tâche], A47)</f>
        <v>0</v>
      </c>
      <c r="C47" s="1">
        <f>SUMIF(TableRaw[Tâche], A47, TableRaw[Durée (jours)])</f>
        <v>0</v>
      </c>
      <c r="D47" s="1" t="str">
        <f t="shared" si="0"/>
        <v/>
      </c>
      <c r="E47" s="1" cm="1">
        <f t="array" ref="E47">IFERROR(MIN(IF(TableRaw[Tâche]=A47,TableRaw[Durée (jours)])),"")</f>
        <v>0</v>
      </c>
      <c r="F47" s="1" t="str" cm="1">
        <f t="array" ref="F47">IFERROR(LARGE(IF(TableRaw[Tâche]=A47,TableRaw[Durée (jours)]),1),"")</f>
        <v/>
      </c>
      <c r="G47" s="4" t="str">
        <f t="shared" si="2"/>
        <v/>
      </c>
      <c r="H47" s="1">
        <f>SUM(TableRaw[Durée (jours)])</f>
        <v>0</v>
      </c>
    </row>
    <row r="48" spans="1:8" x14ac:dyDescent="0.35">
      <c r="A48" cm="1">
        <f t="array" ref="A48">_xlfn.UNIQUE(TableRaw[Tâche])</f>
        <v>0</v>
      </c>
      <c r="B48">
        <f>COUNTIF(TableRaw[Tâche], A48)</f>
        <v>0</v>
      </c>
      <c r="C48" s="1">
        <f>SUMIF(TableRaw[Tâche], A48, TableRaw[Durée (jours)])</f>
        <v>0</v>
      </c>
      <c r="D48" s="1" t="str">
        <f t="shared" si="0"/>
        <v/>
      </c>
      <c r="E48" s="1" cm="1">
        <f t="array" ref="E48">IFERROR(MIN(IF(TableRaw[Tâche]=A48,TableRaw[Durée (jours)])),"")</f>
        <v>0</v>
      </c>
      <c r="F48" s="1" t="str" cm="1">
        <f t="array" ref="F48">IFERROR(LARGE(IF(TableRaw[Tâche]=A48,TableRaw[Durée (jours)]),1),"")</f>
        <v/>
      </c>
      <c r="G48" s="4" t="str">
        <f t="shared" si="2"/>
        <v/>
      </c>
      <c r="H48" s="1">
        <f>SUM(TableRaw[Durée (jours)])</f>
        <v>0</v>
      </c>
    </row>
    <row r="49" spans="1:8" x14ac:dyDescent="0.35">
      <c r="A49" cm="1">
        <f t="array" ref="A49">_xlfn.UNIQUE(TableRaw[Tâche])</f>
        <v>0</v>
      </c>
      <c r="B49">
        <f>COUNTIF(TableRaw[Tâche], A49)</f>
        <v>0</v>
      </c>
      <c r="C49" s="1">
        <f>SUMIF(TableRaw[Tâche], A49, TableRaw[Durée (jours)])</f>
        <v>0</v>
      </c>
      <c r="D49" s="1" t="str">
        <f t="shared" si="0"/>
        <v/>
      </c>
      <c r="E49" s="1" cm="1">
        <f t="array" ref="E49">IFERROR(MIN(IF(TableRaw[Tâche]=A49,TableRaw[Durée (jours)])),"")</f>
        <v>0</v>
      </c>
      <c r="F49" s="1" t="str" cm="1">
        <f t="array" ref="F49">IFERROR(LARGE(IF(TableRaw[Tâche]=A49,TableRaw[Durée (jours)]),1),"")</f>
        <v/>
      </c>
      <c r="G49" s="4" t="str">
        <f t="shared" si="2"/>
        <v/>
      </c>
      <c r="H49" s="1">
        <f>SUM(TableRaw[Durée (jours)])</f>
        <v>0</v>
      </c>
    </row>
    <row r="50" spans="1:8" x14ac:dyDescent="0.35">
      <c r="A50" cm="1">
        <f t="array" ref="A50">_xlfn.UNIQUE(TableRaw[Tâche])</f>
        <v>0</v>
      </c>
      <c r="B50">
        <f>COUNTIF(TableRaw[Tâche], A50)</f>
        <v>0</v>
      </c>
      <c r="C50" s="1">
        <f>SUMIF(TableRaw[Tâche], A50, TableRaw[Durée (jours)])</f>
        <v>0</v>
      </c>
      <c r="D50" s="1" t="str">
        <f t="shared" si="0"/>
        <v/>
      </c>
      <c r="E50" s="1" cm="1">
        <f t="array" ref="E50">IFERROR(MIN(IF(TableRaw[Tâche]=A50,TableRaw[Durée (jours)])),"")</f>
        <v>0</v>
      </c>
      <c r="F50" s="1" t="str" cm="1">
        <f t="array" ref="F50">IFERROR(LARGE(IF(TableRaw[Tâche]=A50,TableRaw[Durée (jours)]),1),"")</f>
        <v/>
      </c>
      <c r="G50" s="4" t="str">
        <f t="shared" si="2"/>
        <v/>
      </c>
      <c r="H50" s="1">
        <f>SUM(TableRaw[Durée (jours)])</f>
        <v>0</v>
      </c>
    </row>
    <row r="51" spans="1:8" x14ac:dyDescent="0.35">
      <c r="A51" cm="1">
        <f t="array" ref="A51">_xlfn.UNIQUE(TableRaw[Tâche])</f>
        <v>0</v>
      </c>
      <c r="B51">
        <f>COUNTIF(TableRaw[Tâche], A51)</f>
        <v>0</v>
      </c>
      <c r="C51" s="1">
        <f>SUMIF(TableRaw[Tâche], A51, TableRaw[Durée (jours)])</f>
        <v>0</v>
      </c>
      <c r="D51" s="1" t="str">
        <f t="shared" si="0"/>
        <v/>
      </c>
      <c r="E51" s="1" cm="1">
        <f t="array" ref="E51">IFERROR(MIN(IF(TableRaw[Tâche]=A51,TableRaw[Durée (jours)])),"")</f>
        <v>0</v>
      </c>
      <c r="F51" s="1" t="str" cm="1">
        <f t="array" ref="F51">IFERROR(LARGE(IF(TableRaw[Tâche]=A51,TableRaw[Durée (jours)]),1),"")</f>
        <v/>
      </c>
      <c r="G51" s="4" t="str">
        <f t="shared" si="2"/>
        <v/>
      </c>
      <c r="H51" s="1">
        <f>SUM(TableRaw[Durée (jours)])</f>
        <v>0</v>
      </c>
    </row>
    <row r="52" spans="1:8" x14ac:dyDescent="0.35">
      <c r="A52" cm="1">
        <f t="array" ref="A52">_xlfn.UNIQUE(TableRaw[Tâche])</f>
        <v>0</v>
      </c>
      <c r="B52">
        <f>COUNTIF(TableRaw[Tâche], A52)</f>
        <v>0</v>
      </c>
      <c r="C52" s="1">
        <f>SUMIF(TableRaw[Tâche], A52, TableRaw[Durée (jours)])</f>
        <v>0</v>
      </c>
      <c r="D52" s="1" t="str">
        <f t="shared" si="0"/>
        <v/>
      </c>
      <c r="E52" s="1" cm="1">
        <f t="array" ref="E52">IFERROR(MIN(IF(TableRaw[Tâche]=A52,TableRaw[Durée (jours)])),"")</f>
        <v>0</v>
      </c>
      <c r="F52" s="1" t="str" cm="1">
        <f t="array" ref="F52">IFERROR(LARGE(IF(TableRaw[Tâche]=A52,TableRaw[Durée (jours)]),1),"")</f>
        <v/>
      </c>
      <c r="G52" s="4" t="str">
        <f t="shared" si="2"/>
        <v/>
      </c>
      <c r="H52" s="1">
        <f>SUM(TableRaw[Durée (jours)])</f>
        <v>0</v>
      </c>
    </row>
    <row r="53" spans="1:8" x14ac:dyDescent="0.35">
      <c r="A53" cm="1">
        <f t="array" ref="A53">_xlfn.UNIQUE(TableRaw[Tâche])</f>
        <v>0</v>
      </c>
      <c r="B53">
        <f>COUNTIF(TableRaw[Tâche], A53)</f>
        <v>0</v>
      </c>
      <c r="C53" s="1">
        <f>SUMIF(TableRaw[Tâche], A53, TableRaw[Durée (jours)])</f>
        <v>0</v>
      </c>
      <c r="D53" s="1" t="str">
        <f t="shared" si="0"/>
        <v/>
      </c>
      <c r="E53" s="1" cm="1">
        <f t="array" ref="E53">IFERROR(MIN(IF(TableRaw[Tâche]=A53,TableRaw[Durée (jours)])),"")</f>
        <v>0</v>
      </c>
      <c r="F53" s="1" t="str" cm="1">
        <f t="array" ref="F53">IFERROR(LARGE(IF(TableRaw[Tâche]=A53,TableRaw[Durée (jours)]),1),"")</f>
        <v/>
      </c>
      <c r="G53" s="4" t="str">
        <f t="shared" si="2"/>
        <v/>
      </c>
      <c r="H53" s="1">
        <f>SUM(TableRaw[Durée (jours)])</f>
        <v>0</v>
      </c>
    </row>
    <row r="54" spans="1:8" x14ac:dyDescent="0.35">
      <c r="A54" cm="1">
        <f t="array" ref="A54">_xlfn.UNIQUE(TableRaw[Tâche])</f>
        <v>0</v>
      </c>
      <c r="B54">
        <f>COUNTIF(TableRaw[Tâche], A54)</f>
        <v>0</v>
      </c>
      <c r="C54" s="1">
        <f>SUMIF(TableRaw[Tâche], A54, TableRaw[Durée (jours)])</f>
        <v>0</v>
      </c>
      <c r="D54" s="1" t="str">
        <f t="shared" si="0"/>
        <v/>
      </c>
      <c r="E54" s="1" cm="1">
        <f t="array" ref="E54">IFERROR(MIN(IF(TableRaw[Tâche]=A54,TableRaw[Durée (jours)])),"")</f>
        <v>0</v>
      </c>
      <c r="F54" s="1" t="str" cm="1">
        <f t="array" ref="F54">IFERROR(LARGE(IF(TableRaw[Tâche]=A54,TableRaw[Durée (jours)]),1),"")</f>
        <v/>
      </c>
      <c r="G54" s="4" t="str">
        <f t="shared" si="2"/>
        <v/>
      </c>
      <c r="H54" s="1">
        <f>SUM(TableRaw[Durée (jours)])</f>
        <v>0</v>
      </c>
    </row>
    <row r="55" spans="1:8" x14ac:dyDescent="0.35">
      <c r="A55" cm="1">
        <f t="array" ref="A55">_xlfn.UNIQUE(TableRaw[Tâche])</f>
        <v>0</v>
      </c>
      <c r="B55">
        <f>COUNTIF(TableRaw[Tâche], A55)</f>
        <v>0</v>
      </c>
      <c r="C55" s="1">
        <f>SUMIF(TableRaw[Tâche], A55, TableRaw[Durée (jours)])</f>
        <v>0</v>
      </c>
      <c r="D55" s="1" t="str">
        <f t="shared" si="0"/>
        <v/>
      </c>
      <c r="E55" s="1" cm="1">
        <f t="array" ref="E55">IFERROR(MIN(IF(TableRaw[Tâche]=A55,TableRaw[Durée (jours)])),"")</f>
        <v>0</v>
      </c>
      <c r="F55" s="1" t="str" cm="1">
        <f t="array" ref="F55">IFERROR(LARGE(IF(TableRaw[Tâche]=A55,TableRaw[Durée (jours)]),1),"")</f>
        <v/>
      </c>
      <c r="G55" s="4" t="str">
        <f t="shared" si="2"/>
        <v/>
      </c>
      <c r="H55" s="1">
        <f>SUM(TableRaw[Durée (jours)])</f>
        <v>0</v>
      </c>
    </row>
    <row r="56" spans="1:8" x14ac:dyDescent="0.35">
      <c r="A56" cm="1">
        <f t="array" ref="A56">_xlfn.UNIQUE(TableRaw[Tâche])</f>
        <v>0</v>
      </c>
      <c r="B56">
        <f>COUNTIF(TableRaw[Tâche], A56)</f>
        <v>0</v>
      </c>
      <c r="C56" s="1">
        <f>SUMIF(TableRaw[Tâche], A56, TableRaw[Durée (jours)])</f>
        <v>0</v>
      </c>
      <c r="D56" s="1" t="str">
        <f t="shared" si="0"/>
        <v/>
      </c>
      <c r="E56" s="1" cm="1">
        <f t="array" ref="E56">IFERROR(MIN(IF(TableRaw[Tâche]=A56,TableRaw[Durée (jours)])),"")</f>
        <v>0</v>
      </c>
      <c r="F56" s="1" t="str" cm="1">
        <f t="array" ref="F56">IFERROR(LARGE(IF(TableRaw[Tâche]=A56,TableRaw[Durée (jours)]),1),"")</f>
        <v/>
      </c>
      <c r="G56" s="4" t="str">
        <f t="shared" si="2"/>
        <v/>
      </c>
      <c r="H56" s="1">
        <f>SUM(TableRaw[Durée (jours)])</f>
        <v>0</v>
      </c>
    </row>
    <row r="57" spans="1:8" x14ac:dyDescent="0.35">
      <c r="A57" cm="1">
        <f t="array" ref="A57">_xlfn.UNIQUE(TableRaw[Tâche])</f>
        <v>0</v>
      </c>
      <c r="B57">
        <f>COUNTIF(TableRaw[Tâche], A57)</f>
        <v>0</v>
      </c>
      <c r="C57" s="1">
        <f>SUMIF(TableRaw[Tâche], A57, TableRaw[Durée (jours)])</f>
        <v>0</v>
      </c>
      <c r="D57" s="1" t="str">
        <f t="shared" si="0"/>
        <v/>
      </c>
      <c r="E57" s="1" cm="1">
        <f t="array" ref="E57">IFERROR(MIN(IF(TableRaw[Tâche]=A57,TableRaw[Durée (jours)])),"")</f>
        <v>0</v>
      </c>
      <c r="F57" s="1" t="str" cm="1">
        <f t="array" ref="F57">IFERROR(LARGE(IF(TableRaw[Tâche]=A57,TableRaw[Durée (jours)]),1),"")</f>
        <v/>
      </c>
      <c r="G57" s="4" t="str">
        <f t="shared" si="2"/>
        <v/>
      </c>
      <c r="H57" s="1">
        <f>SUM(TableRaw[Durée (jours)])</f>
        <v>0</v>
      </c>
    </row>
    <row r="58" spans="1:8" x14ac:dyDescent="0.35">
      <c r="A58" cm="1">
        <f t="array" ref="A58">_xlfn.UNIQUE(TableRaw[Tâche])</f>
        <v>0</v>
      </c>
      <c r="B58">
        <f>COUNTIF(TableRaw[Tâche], A58)</f>
        <v>0</v>
      </c>
      <c r="C58" s="1">
        <f>SUMIF(TableRaw[Tâche], A58, TableRaw[Durée (jours)])</f>
        <v>0</v>
      </c>
      <c r="D58" s="1" t="str">
        <f t="shared" si="0"/>
        <v/>
      </c>
      <c r="E58" s="1" cm="1">
        <f t="array" ref="E58">IFERROR(MIN(IF(TableRaw[Tâche]=A58,TableRaw[Durée (jours)])),"")</f>
        <v>0</v>
      </c>
      <c r="F58" s="1" t="str" cm="1">
        <f t="array" ref="F58">IFERROR(LARGE(IF(TableRaw[Tâche]=A58,TableRaw[Durée (jours)]),1),"")</f>
        <v/>
      </c>
      <c r="G58" s="4" t="str">
        <f t="shared" si="2"/>
        <v/>
      </c>
      <c r="H58" s="1">
        <f>SUM(TableRaw[Durée (jours)])</f>
        <v>0</v>
      </c>
    </row>
    <row r="59" spans="1:8" x14ac:dyDescent="0.35">
      <c r="A59" cm="1">
        <f t="array" ref="A59">_xlfn.UNIQUE(TableRaw[Tâche])</f>
        <v>0</v>
      </c>
      <c r="B59">
        <f>COUNTIF(TableRaw[Tâche], A59)</f>
        <v>0</v>
      </c>
      <c r="C59" s="1">
        <f>SUMIF(TableRaw[Tâche], A59, TableRaw[Durée (jours)])</f>
        <v>0</v>
      </c>
      <c r="D59" s="1" t="str">
        <f t="shared" si="0"/>
        <v/>
      </c>
      <c r="E59" s="1" cm="1">
        <f t="array" ref="E59">IFERROR(MIN(IF(TableRaw[Tâche]=A59,TableRaw[Durée (jours)])),"")</f>
        <v>0</v>
      </c>
      <c r="F59" s="1" t="str" cm="1">
        <f t="array" ref="F59">IFERROR(LARGE(IF(TableRaw[Tâche]=A59,TableRaw[Durée (jours)]),1),"")</f>
        <v/>
      </c>
      <c r="G59" s="4" t="str">
        <f t="shared" si="2"/>
        <v/>
      </c>
      <c r="H59" s="1">
        <f>SUM(TableRaw[Durée (jours)])</f>
        <v>0</v>
      </c>
    </row>
    <row r="60" spans="1:8" x14ac:dyDescent="0.35">
      <c r="A60" cm="1">
        <f t="array" ref="A60">_xlfn.UNIQUE(TableRaw[Tâche])</f>
        <v>0</v>
      </c>
      <c r="B60">
        <f>COUNTIF(TableRaw[Tâche], A60)</f>
        <v>0</v>
      </c>
      <c r="C60" s="1">
        <f>SUMIF(TableRaw[Tâche], A60, TableRaw[Durée (jours)])</f>
        <v>0</v>
      </c>
      <c r="D60" s="1" t="str">
        <f t="shared" si="0"/>
        <v/>
      </c>
      <c r="E60" s="1" cm="1">
        <f t="array" ref="E60">IFERROR(MIN(IF(TableRaw[Tâche]=A60,TableRaw[Durée (jours)])),"")</f>
        <v>0</v>
      </c>
      <c r="F60" s="1" t="str" cm="1">
        <f t="array" ref="F60">IFERROR(LARGE(IF(TableRaw[Tâche]=A60,TableRaw[Durée (jours)]),1),"")</f>
        <v/>
      </c>
      <c r="G60" s="4" t="str">
        <f t="shared" si="2"/>
        <v/>
      </c>
      <c r="H60" s="1">
        <f>SUM(TableRaw[Durée (jours)])</f>
        <v>0</v>
      </c>
    </row>
    <row r="61" spans="1:8" x14ac:dyDescent="0.35">
      <c r="A61" cm="1">
        <f t="array" ref="A61">_xlfn.UNIQUE(TableRaw[Tâche])</f>
        <v>0</v>
      </c>
      <c r="B61">
        <f>COUNTIF(TableRaw[Tâche], A61)</f>
        <v>0</v>
      </c>
      <c r="C61" s="1">
        <f>SUMIF(TableRaw[Tâche], A61, TableRaw[Durée (jours)])</f>
        <v>0</v>
      </c>
      <c r="D61" s="1" t="str">
        <f t="shared" si="0"/>
        <v/>
      </c>
      <c r="E61" s="1" cm="1">
        <f t="array" ref="E61">IFERROR(MIN(IF(TableRaw[Tâche]=A61,TableRaw[Durée (jours)])),"")</f>
        <v>0</v>
      </c>
      <c r="F61" s="1" t="str" cm="1">
        <f t="array" ref="F61">IFERROR(LARGE(IF(TableRaw[Tâche]=A61,TableRaw[Durée (jours)]),1),"")</f>
        <v/>
      </c>
      <c r="G61" s="4" t="str">
        <f t="shared" si="2"/>
        <v/>
      </c>
      <c r="H61" s="1">
        <f>SUM(TableRaw[Durée (jours)])</f>
        <v>0</v>
      </c>
    </row>
    <row r="62" spans="1:8" x14ac:dyDescent="0.35">
      <c r="A62" cm="1">
        <f t="array" ref="A62">_xlfn.UNIQUE(TableRaw[Tâche])</f>
        <v>0</v>
      </c>
      <c r="B62">
        <f>COUNTIF(TableRaw[Tâche], A62)</f>
        <v>0</v>
      </c>
      <c r="C62" s="1">
        <f>SUMIF(TableRaw[Tâche], A62, TableRaw[Durée (jours)])</f>
        <v>0</v>
      </c>
      <c r="D62" s="1" t="str">
        <f t="shared" si="0"/>
        <v/>
      </c>
      <c r="E62" s="1" cm="1">
        <f t="array" ref="E62">IFERROR(MIN(IF(TableRaw[Tâche]=A62,TableRaw[Durée (jours)])),"")</f>
        <v>0</v>
      </c>
      <c r="F62" s="1" t="str" cm="1">
        <f t="array" ref="F62">IFERROR(LARGE(IF(TableRaw[Tâche]=A62,TableRaw[Durée (jours)]),1),"")</f>
        <v/>
      </c>
      <c r="G62" s="4" t="str">
        <f t="shared" si="2"/>
        <v/>
      </c>
      <c r="H62" s="1">
        <f>SUM(TableRaw[Durée (jours)])</f>
        <v>0</v>
      </c>
    </row>
    <row r="63" spans="1:8" x14ac:dyDescent="0.35">
      <c r="A63" cm="1">
        <f t="array" ref="A63">_xlfn.UNIQUE(TableRaw[Tâche])</f>
        <v>0</v>
      </c>
      <c r="B63">
        <f>COUNTIF(TableRaw[Tâche], A63)</f>
        <v>0</v>
      </c>
      <c r="C63" s="1">
        <f>SUMIF(TableRaw[Tâche], A63, TableRaw[Durée (jours)])</f>
        <v>0</v>
      </c>
      <c r="D63" s="1" t="str">
        <f t="shared" si="0"/>
        <v/>
      </c>
      <c r="E63" s="1" cm="1">
        <f t="array" ref="E63">IFERROR(MIN(IF(TableRaw[Tâche]=A63,TableRaw[Durée (jours)])),"")</f>
        <v>0</v>
      </c>
      <c r="F63" s="1" t="str" cm="1">
        <f t="array" ref="F63">IFERROR(LARGE(IF(TableRaw[Tâche]=A63,TableRaw[Durée (jours)]),1),"")</f>
        <v/>
      </c>
      <c r="G63" s="4" t="str">
        <f t="shared" si="2"/>
        <v/>
      </c>
      <c r="H63" s="1">
        <f>SUM(TableRaw[Durée (jours)])</f>
        <v>0</v>
      </c>
    </row>
    <row r="64" spans="1:8" x14ac:dyDescent="0.35">
      <c r="A64" cm="1">
        <f t="array" ref="A64">_xlfn.UNIQUE(TableRaw[Tâche])</f>
        <v>0</v>
      </c>
      <c r="B64">
        <f>COUNTIF(TableRaw[Tâche], A64)</f>
        <v>0</v>
      </c>
      <c r="C64" s="1">
        <f>SUMIF(TableRaw[Tâche], A64, TableRaw[Durée (jours)])</f>
        <v>0</v>
      </c>
      <c r="D64" s="1" t="str">
        <f t="shared" si="0"/>
        <v/>
      </c>
      <c r="E64" s="1" cm="1">
        <f t="array" ref="E64">IFERROR(MIN(IF(TableRaw[Tâche]=A64,TableRaw[Durée (jours)])),"")</f>
        <v>0</v>
      </c>
      <c r="F64" s="1" t="str" cm="1">
        <f t="array" ref="F64">IFERROR(LARGE(IF(TableRaw[Tâche]=A64,TableRaw[Durée (jours)]),1),"")</f>
        <v/>
      </c>
      <c r="G64" s="4" t="str">
        <f t="shared" si="2"/>
        <v/>
      </c>
      <c r="H64" s="1">
        <f>SUM(TableRaw[Durée (jours)])</f>
        <v>0</v>
      </c>
    </row>
    <row r="65" spans="1:8" x14ac:dyDescent="0.35">
      <c r="A65" cm="1">
        <f t="array" ref="A65">_xlfn.UNIQUE(TableRaw[Tâche])</f>
        <v>0</v>
      </c>
      <c r="B65">
        <f>COUNTIF(TableRaw[Tâche], A65)</f>
        <v>0</v>
      </c>
      <c r="C65" s="1">
        <f>SUMIF(TableRaw[Tâche], A65, TableRaw[Durée (jours)])</f>
        <v>0</v>
      </c>
      <c r="D65" s="1" t="str">
        <f t="shared" si="0"/>
        <v/>
      </c>
      <c r="E65" s="1" cm="1">
        <f t="array" ref="E65">IFERROR(MIN(IF(TableRaw[Tâche]=A65,TableRaw[Durée (jours)])),"")</f>
        <v>0</v>
      </c>
      <c r="F65" s="1" t="str" cm="1">
        <f t="array" ref="F65">IFERROR(LARGE(IF(TableRaw[Tâche]=A65,TableRaw[Durée (jours)]),1),"")</f>
        <v/>
      </c>
      <c r="G65" s="4" t="str">
        <f t="shared" si="2"/>
        <v/>
      </c>
      <c r="H65" s="1">
        <f>SUM(TableRaw[Durée (jours)])</f>
        <v>0</v>
      </c>
    </row>
    <row r="66" spans="1:8" x14ac:dyDescent="0.35">
      <c r="A66" cm="1">
        <f t="array" ref="A66">_xlfn.UNIQUE(TableRaw[Tâche])</f>
        <v>0</v>
      </c>
      <c r="B66">
        <f>COUNTIF(TableRaw[Tâche], A66)</f>
        <v>0</v>
      </c>
      <c r="C66" s="1">
        <f>SUMIF(TableRaw[Tâche], A66, TableRaw[Durée (jours)])</f>
        <v>0</v>
      </c>
      <c r="D66" s="1" t="str">
        <f t="shared" ref="D66:D129" si="3">IF(B66=0,"",C66/B66)</f>
        <v/>
      </c>
      <c r="E66" s="1" cm="1">
        <f t="array" ref="E66">IFERROR(MIN(IF(TableRaw[Tâche]=A66,TableRaw[Durée (jours)])),"")</f>
        <v>0</v>
      </c>
      <c r="F66" s="1" t="str" cm="1">
        <f t="array" ref="F66">IFERROR(LARGE(IF(TableRaw[Tâche]=A66,TableRaw[Durée (jours)]),1),"")</f>
        <v/>
      </c>
      <c r="G66" s="4" t="str">
        <f t="shared" ref="G66:G97" si="4">IF($H$2=0,"",C66 / $H$2)</f>
        <v/>
      </c>
      <c r="H66" s="1">
        <f>SUM(TableRaw[Durée (jours)])</f>
        <v>0</v>
      </c>
    </row>
    <row r="67" spans="1:8" x14ac:dyDescent="0.35">
      <c r="A67" cm="1">
        <f t="array" ref="A67">_xlfn.UNIQUE(TableRaw[Tâche])</f>
        <v>0</v>
      </c>
      <c r="B67">
        <f>COUNTIF(TableRaw[Tâche], A67)</f>
        <v>0</v>
      </c>
      <c r="C67" s="1">
        <f>SUMIF(TableRaw[Tâche], A67, TableRaw[Durée (jours)])</f>
        <v>0</v>
      </c>
      <c r="D67" s="1" t="str">
        <f t="shared" si="3"/>
        <v/>
      </c>
      <c r="E67" s="1" cm="1">
        <f t="array" ref="E67">IFERROR(MIN(IF(TableRaw[Tâche]=A67,TableRaw[Durée (jours)])),"")</f>
        <v>0</v>
      </c>
      <c r="F67" s="1" t="str" cm="1">
        <f t="array" ref="F67">IFERROR(LARGE(IF(TableRaw[Tâche]=A67,TableRaw[Durée (jours)]),1),"")</f>
        <v/>
      </c>
      <c r="G67" s="4" t="str">
        <f t="shared" si="4"/>
        <v/>
      </c>
      <c r="H67" s="1">
        <f>SUM(TableRaw[Durée (jours)])</f>
        <v>0</v>
      </c>
    </row>
    <row r="68" spans="1:8" x14ac:dyDescent="0.35">
      <c r="A68" cm="1">
        <f t="array" ref="A68">_xlfn.UNIQUE(TableRaw[Tâche])</f>
        <v>0</v>
      </c>
      <c r="B68">
        <f>COUNTIF(TableRaw[Tâche], A68)</f>
        <v>0</v>
      </c>
      <c r="C68" s="1">
        <f>SUMIF(TableRaw[Tâche], A68, TableRaw[Durée (jours)])</f>
        <v>0</v>
      </c>
      <c r="D68" s="1" t="str">
        <f t="shared" si="3"/>
        <v/>
      </c>
      <c r="E68" s="1" cm="1">
        <f t="array" ref="E68">IFERROR(MIN(IF(TableRaw[Tâche]=A68,TableRaw[Durée (jours)])),"")</f>
        <v>0</v>
      </c>
      <c r="F68" s="1" t="str" cm="1">
        <f t="array" ref="F68">IFERROR(LARGE(IF(TableRaw[Tâche]=A68,TableRaw[Durée (jours)]),1),"")</f>
        <v/>
      </c>
      <c r="G68" s="4" t="str">
        <f t="shared" si="4"/>
        <v/>
      </c>
      <c r="H68" s="1">
        <f>SUM(TableRaw[Durée (jours)])</f>
        <v>0</v>
      </c>
    </row>
    <row r="69" spans="1:8" x14ac:dyDescent="0.35">
      <c r="A69" cm="1">
        <f t="array" ref="A69">_xlfn.UNIQUE(TableRaw[Tâche])</f>
        <v>0</v>
      </c>
      <c r="B69">
        <f>COUNTIF(TableRaw[Tâche], A69)</f>
        <v>0</v>
      </c>
      <c r="C69" s="1">
        <f>SUMIF(TableRaw[Tâche], A69, TableRaw[Durée (jours)])</f>
        <v>0</v>
      </c>
      <c r="D69" s="1" t="str">
        <f t="shared" si="3"/>
        <v/>
      </c>
      <c r="E69" s="1" cm="1">
        <f t="array" ref="E69">IFERROR(MIN(IF(TableRaw[Tâche]=A69,TableRaw[Durée (jours)])),"")</f>
        <v>0</v>
      </c>
      <c r="F69" s="1" t="str" cm="1">
        <f t="array" ref="F69">IFERROR(LARGE(IF(TableRaw[Tâche]=A69,TableRaw[Durée (jours)]),1),"")</f>
        <v/>
      </c>
      <c r="G69" s="4" t="str">
        <f t="shared" si="4"/>
        <v/>
      </c>
      <c r="H69" s="1">
        <f>SUM(TableRaw[Durée (jours)])</f>
        <v>0</v>
      </c>
    </row>
    <row r="70" spans="1:8" x14ac:dyDescent="0.35">
      <c r="A70" cm="1">
        <f t="array" ref="A70">_xlfn.UNIQUE(TableRaw[Tâche])</f>
        <v>0</v>
      </c>
      <c r="B70">
        <f>COUNTIF(TableRaw[Tâche], A70)</f>
        <v>0</v>
      </c>
      <c r="C70" s="1">
        <f>SUMIF(TableRaw[Tâche], A70, TableRaw[Durée (jours)])</f>
        <v>0</v>
      </c>
      <c r="D70" s="1" t="str">
        <f t="shared" si="3"/>
        <v/>
      </c>
      <c r="E70" s="1" cm="1">
        <f t="array" ref="E70">IFERROR(MIN(IF(TableRaw[Tâche]=A70,TableRaw[Durée (jours)])),"")</f>
        <v>0</v>
      </c>
      <c r="F70" s="1" t="str" cm="1">
        <f t="array" ref="F70">IFERROR(LARGE(IF(TableRaw[Tâche]=A70,TableRaw[Durée (jours)]),1),"")</f>
        <v/>
      </c>
      <c r="G70" s="4" t="str">
        <f t="shared" si="4"/>
        <v/>
      </c>
      <c r="H70" s="1">
        <f>SUM(TableRaw[Durée (jours)])</f>
        <v>0</v>
      </c>
    </row>
    <row r="71" spans="1:8" x14ac:dyDescent="0.35">
      <c r="A71" cm="1">
        <f t="array" ref="A71">_xlfn.UNIQUE(TableRaw[Tâche])</f>
        <v>0</v>
      </c>
      <c r="B71">
        <f>COUNTIF(TableRaw[Tâche], A71)</f>
        <v>0</v>
      </c>
      <c r="C71" s="1">
        <f>SUMIF(TableRaw[Tâche], A71, TableRaw[Durée (jours)])</f>
        <v>0</v>
      </c>
      <c r="D71" s="1" t="str">
        <f t="shared" si="3"/>
        <v/>
      </c>
      <c r="E71" s="1" cm="1">
        <f t="array" ref="E71">IFERROR(MIN(IF(TableRaw[Tâche]=A71,TableRaw[Durée (jours)])),"")</f>
        <v>0</v>
      </c>
      <c r="F71" s="1" t="str" cm="1">
        <f t="array" ref="F71">IFERROR(LARGE(IF(TableRaw[Tâche]=A71,TableRaw[Durée (jours)]),1),"")</f>
        <v/>
      </c>
      <c r="G71" s="4" t="str">
        <f t="shared" si="4"/>
        <v/>
      </c>
      <c r="H71" s="1">
        <f>SUM(TableRaw[Durée (jours)])</f>
        <v>0</v>
      </c>
    </row>
    <row r="72" spans="1:8" x14ac:dyDescent="0.35">
      <c r="A72" cm="1">
        <f t="array" ref="A72">_xlfn.UNIQUE(TableRaw[Tâche])</f>
        <v>0</v>
      </c>
      <c r="B72">
        <f>COUNTIF(TableRaw[Tâche], A72)</f>
        <v>0</v>
      </c>
      <c r="C72" s="1">
        <f>SUMIF(TableRaw[Tâche], A72, TableRaw[Durée (jours)])</f>
        <v>0</v>
      </c>
      <c r="D72" s="1" t="str">
        <f t="shared" si="3"/>
        <v/>
      </c>
      <c r="E72" s="1" cm="1">
        <f t="array" ref="E72">IFERROR(MIN(IF(TableRaw[Tâche]=A72,TableRaw[Durée (jours)])),"")</f>
        <v>0</v>
      </c>
      <c r="F72" s="1" t="str" cm="1">
        <f t="array" ref="F72">IFERROR(LARGE(IF(TableRaw[Tâche]=A72,TableRaw[Durée (jours)]),1),"")</f>
        <v/>
      </c>
      <c r="G72" s="4" t="str">
        <f t="shared" si="4"/>
        <v/>
      </c>
      <c r="H72" s="1">
        <f>SUM(TableRaw[Durée (jours)])</f>
        <v>0</v>
      </c>
    </row>
    <row r="73" spans="1:8" x14ac:dyDescent="0.35">
      <c r="A73" cm="1">
        <f t="array" ref="A73">_xlfn.UNIQUE(TableRaw[Tâche])</f>
        <v>0</v>
      </c>
      <c r="B73">
        <f>COUNTIF(TableRaw[Tâche], A73)</f>
        <v>0</v>
      </c>
      <c r="C73" s="1">
        <f>SUMIF(TableRaw[Tâche], A73, TableRaw[Durée (jours)])</f>
        <v>0</v>
      </c>
      <c r="D73" s="1" t="str">
        <f t="shared" si="3"/>
        <v/>
      </c>
      <c r="E73" s="1" cm="1">
        <f t="array" ref="E73">IFERROR(MIN(IF(TableRaw[Tâche]=A73,TableRaw[Durée (jours)])),"")</f>
        <v>0</v>
      </c>
      <c r="F73" s="1" t="str" cm="1">
        <f t="array" ref="F73">IFERROR(LARGE(IF(TableRaw[Tâche]=A73,TableRaw[Durée (jours)]),1),"")</f>
        <v/>
      </c>
      <c r="G73" s="4" t="str">
        <f t="shared" si="4"/>
        <v/>
      </c>
      <c r="H73" s="1">
        <f>SUM(TableRaw[Durée (jours)])</f>
        <v>0</v>
      </c>
    </row>
    <row r="74" spans="1:8" x14ac:dyDescent="0.35">
      <c r="A74" cm="1">
        <f t="array" ref="A74">_xlfn.UNIQUE(TableRaw[Tâche])</f>
        <v>0</v>
      </c>
      <c r="B74">
        <f>COUNTIF(TableRaw[Tâche], A74)</f>
        <v>0</v>
      </c>
      <c r="C74" s="1">
        <f>SUMIF(TableRaw[Tâche], A74, TableRaw[Durée (jours)])</f>
        <v>0</v>
      </c>
      <c r="D74" s="1" t="str">
        <f t="shared" si="3"/>
        <v/>
      </c>
      <c r="E74" s="1" cm="1">
        <f t="array" ref="E74">IFERROR(MIN(IF(TableRaw[Tâche]=A74,TableRaw[Durée (jours)])),"")</f>
        <v>0</v>
      </c>
      <c r="F74" s="1" t="str" cm="1">
        <f t="array" ref="F74">IFERROR(LARGE(IF(TableRaw[Tâche]=A74,TableRaw[Durée (jours)]),1),"")</f>
        <v/>
      </c>
      <c r="G74" s="4" t="str">
        <f t="shared" si="4"/>
        <v/>
      </c>
      <c r="H74" s="1">
        <f>SUM(TableRaw[Durée (jours)])</f>
        <v>0</v>
      </c>
    </row>
    <row r="75" spans="1:8" x14ac:dyDescent="0.35">
      <c r="A75" cm="1">
        <f t="array" ref="A75">_xlfn.UNIQUE(TableRaw[Tâche])</f>
        <v>0</v>
      </c>
      <c r="B75">
        <f>COUNTIF(TableRaw[Tâche], A75)</f>
        <v>0</v>
      </c>
      <c r="C75" s="1">
        <f>SUMIF(TableRaw[Tâche], A75, TableRaw[Durée (jours)])</f>
        <v>0</v>
      </c>
      <c r="D75" s="1" t="str">
        <f t="shared" si="3"/>
        <v/>
      </c>
      <c r="E75" s="1" cm="1">
        <f t="array" ref="E75">IFERROR(MIN(IF(TableRaw[Tâche]=A75,TableRaw[Durée (jours)])),"")</f>
        <v>0</v>
      </c>
      <c r="F75" s="1" t="str" cm="1">
        <f t="array" ref="F75">IFERROR(LARGE(IF(TableRaw[Tâche]=A75,TableRaw[Durée (jours)]),1),"")</f>
        <v/>
      </c>
      <c r="G75" s="4" t="str">
        <f t="shared" si="4"/>
        <v/>
      </c>
      <c r="H75" s="1">
        <f>SUM(TableRaw[Durée (jours)])</f>
        <v>0</v>
      </c>
    </row>
    <row r="76" spans="1:8" x14ac:dyDescent="0.35">
      <c r="A76" cm="1">
        <f t="array" ref="A76">_xlfn.UNIQUE(TableRaw[Tâche])</f>
        <v>0</v>
      </c>
      <c r="B76">
        <f>COUNTIF(TableRaw[Tâche], A76)</f>
        <v>0</v>
      </c>
      <c r="C76" s="1">
        <f>SUMIF(TableRaw[Tâche], A76, TableRaw[Durée (jours)])</f>
        <v>0</v>
      </c>
      <c r="D76" s="1" t="str">
        <f t="shared" si="3"/>
        <v/>
      </c>
      <c r="E76" s="1" cm="1">
        <f t="array" ref="E76">IFERROR(MIN(IF(TableRaw[Tâche]=A76,TableRaw[Durée (jours)])),"")</f>
        <v>0</v>
      </c>
      <c r="F76" s="1" t="str" cm="1">
        <f t="array" ref="F76">IFERROR(LARGE(IF(TableRaw[Tâche]=A76,TableRaw[Durée (jours)]),1),"")</f>
        <v/>
      </c>
      <c r="G76" s="4" t="str">
        <f t="shared" si="4"/>
        <v/>
      </c>
      <c r="H76" s="1">
        <f>SUM(TableRaw[Durée (jours)])</f>
        <v>0</v>
      </c>
    </row>
    <row r="77" spans="1:8" x14ac:dyDescent="0.35">
      <c r="A77" cm="1">
        <f t="array" ref="A77">_xlfn.UNIQUE(TableRaw[Tâche])</f>
        <v>0</v>
      </c>
      <c r="B77">
        <f>COUNTIF(TableRaw[Tâche], A77)</f>
        <v>0</v>
      </c>
      <c r="C77" s="1">
        <f>SUMIF(TableRaw[Tâche], A77, TableRaw[Durée (jours)])</f>
        <v>0</v>
      </c>
      <c r="D77" s="1" t="str">
        <f t="shared" si="3"/>
        <v/>
      </c>
      <c r="E77" s="1" cm="1">
        <f t="array" ref="E77">IFERROR(MIN(IF(TableRaw[Tâche]=A77,TableRaw[Durée (jours)])),"")</f>
        <v>0</v>
      </c>
      <c r="F77" s="1" t="str" cm="1">
        <f t="array" ref="F77">IFERROR(LARGE(IF(TableRaw[Tâche]=A77,TableRaw[Durée (jours)]),1),"")</f>
        <v/>
      </c>
      <c r="G77" s="4" t="str">
        <f t="shared" si="4"/>
        <v/>
      </c>
      <c r="H77" s="1">
        <f>SUM(TableRaw[Durée (jours)])</f>
        <v>0</v>
      </c>
    </row>
    <row r="78" spans="1:8" x14ac:dyDescent="0.35">
      <c r="A78" cm="1">
        <f t="array" ref="A78">_xlfn.UNIQUE(TableRaw[Tâche])</f>
        <v>0</v>
      </c>
      <c r="B78">
        <f>COUNTIF(TableRaw[Tâche], A78)</f>
        <v>0</v>
      </c>
      <c r="C78" s="1">
        <f>SUMIF(TableRaw[Tâche], A78, TableRaw[Durée (jours)])</f>
        <v>0</v>
      </c>
      <c r="D78" s="1" t="str">
        <f t="shared" si="3"/>
        <v/>
      </c>
      <c r="E78" s="1" cm="1">
        <f t="array" ref="E78">IFERROR(MIN(IF(TableRaw[Tâche]=A78,TableRaw[Durée (jours)])),"")</f>
        <v>0</v>
      </c>
      <c r="F78" s="1" t="str" cm="1">
        <f t="array" ref="F78">IFERROR(LARGE(IF(TableRaw[Tâche]=A78,TableRaw[Durée (jours)]),1),"")</f>
        <v/>
      </c>
      <c r="G78" s="4" t="str">
        <f t="shared" si="4"/>
        <v/>
      </c>
      <c r="H78" s="1">
        <f>SUM(TableRaw[Durée (jours)])</f>
        <v>0</v>
      </c>
    </row>
    <row r="79" spans="1:8" x14ac:dyDescent="0.35">
      <c r="A79" cm="1">
        <f t="array" ref="A79">_xlfn.UNIQUE(TableRaw[Tâche])</f>
        <v>0</v>
      </c>
      <c r="B79">
        <f>COUNTIF(TableRaw[Tâche], A79)</f>
        <v>0</v>
      </c>
      <c r="C79" s="1">
        <f>SUMIF(TableRaw[Tâche], A79, TableRaw[Durée (jours)])</f>
        <v>0</v>
      </c>
      <c r="D79" s="1" t="str">
        <f t="shared" si="3"/>
        <v/>
      </c>
      <c r="E79" s="1" cm="1">
        <f t="array" ref="E79">IFERROR(MIN(IF(TableRaw[Tâche]=A79,TableRaw[Durée (jours)])),"")</f>
        <v>0</v>
      </c>
      <c r="F79" s="1" t="str" cm="1">
        <f t="array" ref="F79">IFERROR(LARGE(IF(TableRaw[Tâche]=A79,TableRaw[Durée (jours)]),1),"")</f>
        <v/>
      </c>
      <c r="G79" s="4" t="str">
        <f t="shared" si="4"/>
        <v/>
      </c>
      <c r="H79" s="1">
        <f>SUM(TableRaw[Durée (jours)])</f>
        <v>0</v>
      </c>
    </row>
    <row r="80" spans="1:8" x14ac:dyDescent="0.35">
      <c r="A80" cm="1">
        <f t="array" ref="A80">_xlfn.UNIQUE(TableRaw[Tâche])</f>
        <v>0</v>
      </c>
      <c r="B80">
        <f>COUNTIF(TableRaw[Tâche], A80)</f>
        <v>0</v>
      </c>
      <c r="C80" s="1">
        <f>SUMIF(TableRaw[Tâche], A80, TableRaw[Durée (jours)])</f>
        <v>0</v>
      </c>
      <c r="D80" s="1" t="str">
        <f t="shared" si="3"/>
        <v/>
      </c>
      <c r="E80" s="1" cm="1">
        <f t="array" ref="E80">IFERROR(MIN(IF(TableRaw[Tâche]=A80,TableRaw[Durée (jours)])),"")</f>
        <v>0</v>
      </c>
      <c r="F80" s="1" t="str" cm="1">
        <f t="array" ref="F80">IFERROR(LARGE(IF(TableRaw[Tâche]=A80,TableRaw[Durée (jours)]),1),"")</f>
        <v/>
      </c>
      <c r="G80" s="4" t="str">
        <f t="shared" si="4"/>
        <v/>
      </c>
      <c r="H80" s="1">
        <f>SUM(TableRaw[Durée (jours)])</f>
        <v>0</v>
      </c>
    </row>
    <row r="81" spans="1:8" x14ac:dyDescent="0.35">
      <c r="A81" cm="1">
        <f t="array" ref="A81">_xlfn.UNIQUE(TableRaw[Tâche])</f>
        <v>0</v>
      </c>
      <c r="B81">
        <f>COUNTIF(TableRaw[Tâche], A81)</f>
        <v>0</v>
      </c>
      <c r="C81" s="1">
        <f>SUMIF(TableRaw[Tâche], A81, TableRaw[Durée (jours)])</f>
        <v>0</v>
      </c>
      <c r="D81" s="1" t="str">
        <f t="shared" si="3"/>
        <v/>
      </c>
      <c r="E81" s="1" cm="1">
        <f t="array" ref="E81">IFERROR(MIN(IF(TableRaw[Tâche]=A81,TableRaw[Durée (jours)])),"")</f>
        <v>0</v>
      </c>
      <c r="F81" s="1" t="str" cm="1">
        <f t="array" ref="F81">IFERROR(LARGE(IF(TableRaw[Tâche]=A81,TableRaw[Durée (jours)]),1),"")</f>
        <v/>
      </c>
      <c r="G81" s="4" t="str">
        <f t="shared" si="4"/>
        <v/>
      </c>
      <c r="H81" s="1">
        <f>SUM(TableRaw[Durée (jours)])</f>
        <v>0</v>
      </c>
    </row>
    <row r="82" spans="1:8" x14ac:dyDescent="0.35">
      <c r="A82" cm="1">
        <f t="array" ref="A82">_xlfn.UNIQUE(TableRaw[Tâche])</f>
        <v>0</v>
      </c>
      <c r="B82">
        <f>COUNTIF(TableRaw[Tâche], A82)</f>
        <v>0</v>
      </c>
      <c r="C82" s="1">
        <f>SUMIF(TableRaw[Tâche], A82, TableRaw[Durée (jours)])</f>
        <v>0</v>
      </c>
      <c r="D82" s="1" t="str">
        <f t="shared" si="3"/>
        <v/>
      </c>
      <c r="E82" s="1" cm="1">
        <f t="array" ref="E82">IFERROR(MIN(IF(TableRaw[Tâche]=A82,TableRaw[Durée (jours)])),"")</f>
        <v>0</v>
      </c>
      <c r="F82" s="1" t="str" cm="1">
        <f t="array" ref="F82">IFERROR(LARGE(IF(TableRaw[Tâche]=A82,TableRaw[Durée (jours)]),1),"")</f>
        <v/>
      </c>
      <c r="G82" s="4" t="str">
        <f t="shared" si="4"/>
        <v/>
      </c>
      <c r="H82" s="1">
        <f>SUM(TableRaw[Durée (jours)])</f>
        <v>0</v>
      </c>
    </row>
    <row r="83" spans="1:8" x14ac:dyDescent="0.35">
      <c r="A83" cm="1">
        <f t="array" ref="A83">_xlfn.UNIQUE(TableRaw[Tâche])</f>
        <v>0</v>
      </c>
      <c r="B83">
        <f>COUNTIF(TableRaw[Tâche], A83)</f>
        <v>0</v>
      </c>
      <c r="C83" s="1">
        <f>SUMIF(TableRaw[Tâche], A83, TableRaw[Durée (jours)])</f>
        <v>0</v>
      </c>
      <c r="D83" s="1" t="str">
        <f t="shared" si="3"/>
        <v/>
      </c>
      <c r="E83" s="1" cm="1">
        <f t="array" ref="E83">IFERROR(MIN(IF(TableRaw[Tâche]=A83,TableRaw[Durée (jours)])),"")</f>
        <v>0</v>
      </c>
      <c r="F83" s="1" t="str" cm="1">
        <f t="array" ref="F83">IFERROR(LARGE(IF(TableRaw[Tâche]=A83,TableRaw[Durée (jours)]),1),"")</f>
        <v/>
      </c>
      <c r="G83" s="4" t="str">
        <f t="shared" si="4"/>
        <v/>
      </c>
      <c r="H83" s="1">
        <f>SUM(TableRaw[Durée (jours)])</f>
        <v>0</v>
      </c>
    </row>
    <row r="84" spans="1:8" x14ac:dyDescent="0.35">
      <c r="A84" cm="1">
        <f t="array" ref="A84">_xlfn.UNIQUE(TableRaw[Tâche])</f>
        <v>0</v>
      </c>
      <c r="B84">
        <f>COUNTIF(TableRaw[Tâche], A84)</f>
        <v>0</v>
      </c>
      <c r="C84" s="1">
        <f>SUMIF(TableRaw[Tâche], A84, TableRaw[Durée (jours)])</f>
        <v>0</v>
      </c>
      <c r="D84" s="1" t="str">
        <f t="shared" si="3"/>
        <v/>
      </c>
      <c r="E84" s="1" cm="1">
        <f t="array" ref="E84">IFERROR(MIN(IF(TableRaw[Tâche]=A84,TableRaw[Durée (jours)])),"")</f>
        <v>0</v>
      </c>
      <c r="F84" s="1" t="str" cm="1">
        <f t="array" ref="F84">IFERROR(LARGE(IF(TableRaw[Tâche]=A84,TableRaw[Durée (jours)]),1),"")</f>
        <v/>
      </c>
      <c r="G84" s="4" t="str">
        <f t="shared" si="4"/>
        <v/>
      </c>
      <c r="H84" s="1">
        <f>SUM(TableRaw[Durée (jours)])</f>
        <v>0</v>
      </c>
    </row>
    <row r="85" spans="1:8" x14ac:dyDescent="0.35">
      <c r="A85" cm="1">
        <f t="array" ref="A85">_xlfn.UNIQUE(TableRaw[Tâche])</f>
        <v>0</v>
      </c>
      <c r="B85">
        <f>COUNTIF(TableRaw[Tâche], A85)</f>
        <v>0</v>
      </c>
      <c r="C85" s="1">
        <f>SUMIF(TableRaw[Tâche], A85, TableRaw[Durée (jours)])</f>
        <v>0</v>
      </c>
      <c r="D85" s="1" t="str">
        <f t="shared" si="3"/>
        <v/>
      </c>
      <c r="E85" s="1" cm="1">
        <f t="array" ref="E85">IFERROR(MIN(IF(TableRaw[Tâche]=A85,TableRaw[Durée (jours)])),"")</f>
        <v>0</v>
      </c>
      <c r="F85" s="1" t="str" cm="1">
        <f t="array" ref="F85">IFERROR(LARGE(IF(TableRaw[Tâche]=A85,TableRaw[Durée (jours)]),1),"")</f>
        <v/>
      </c>
      <c r="G85" s="4" t="str">
        <f t="shared" si="4"/>
        <v/>
      </c>
      <c r="H85" s="1">
        <f>SUM(TableRaw[Durée (jours)])</f>
        <v>0</v>
      </c>
    </row>
    <row r="86" spans="1:8" x14ac:dyDescent="0.35">
      <c r="A86" cm="1">
        <f t="array" ref="A86">_xlfn.UNIQUE(TableRaw[Tâche])</f>
        <v>0</v>
      </c>
      <c r="B86">
        <f>COUNTIF(TableRaw[Tâche], A86)</f>
        <v>0</v>
      </c>
      <c r="C86" s="1">
        <f>SUMIF(TableRaw[Tâche], A86, TableRaw[Durée (jours)])</f>
        <v>0</v>
      </c>
      <c r="D86" s="1" t="str">
        <f t="shared" si="3"/>
        <v/>
      </c>
      <c r="E86" s="1" cm="1">
        <f t="array" ref="E86">IFERROR(MIN(IF(TableRaw[Tâche]=A86,TableRaw[Durée (jours)])),"")</f>
        <v>0</v>
      </c>
      <c r="F86" s="1" t="str" cm="1">
        <f t="array" ref="F86">IFERROR(LARGE(IF(TableRaw[Tâche]=A86,TableRaw[Durée (jours)]),1),"")</f>
        <v/>
      </c>
      <c r="G86" s="4" t="str">
        <f t="shared" si="4"/>
        <v/>
      </c>
      <c r="H86" s="1">
        <f>SUM(TableRaw[Durée (jours)])</f>
        <v>0</v>
      </c>
    </row>
    <row r="87" spans="1:8" x14ac:dyDescent="0.35">
      <c r="A87" cm="1">
        <f t="array" ref="A87">_xlfn.UNIQUE(TableRaw[Tâche])</f>
        <v>0</v>
      </c>
      <c r="B87">
        <f>COUNTIF(TableRaw[Tâche], A87)</f>
        <v>0</v>
      </c>
      <c r="C87" s="1">
        <f>SUMIF(TableRaw[Tâche], A87, TableRaw[Durée (jours)])</f>
        <v>0</v>
      </c>
      <c r="D87" s="1" t="str">
        <f t="shared" si="3"/>
        <v/>
      </c>
      <c r="E87" s="1" cm="1">
        <f t="array" ref="E87">IFERROR(MIN(IF(TableRaw[Tâche]=A87,TableRaw[Durée (jours)])),"")</f>
        <v>0</v>
      </c>
      <c r="F87" s="1" t="str" cm="1">
        <f t="array" ref="F87">IFERROR(LARGE(IF(TableRaw[Tâche]=A87,TableRaw[Durée (jours)]),1),"")</f>
        <v/>
      </c>
      <c r="G87" s="4" t="str">
        <f t="shared" si="4"/>
        <v/>
      </c>
      <c r="H87" s="1">
        <f>SUM(TableRaw[Durée (jours)])</f>
        <v>0</v>
      </c>
    </row>
    <row r="88" spans="1:8" x14ac:dyDescent="0.35">
      <c r="A88" cm="1">
        <f t="array" ref="A88">_xlfn.UNIQUE(TableRaw[Tâche])</f>
        <v>0</v>
      </c>
      <c r="B88">
        <f>COUNTIF(TableRaw[Tâche], A88)</f>
        <v>0</v>
      </c>
      <c r="C88" s="1">
        <f>SUMIF(TableRaw[Tâche], A88, TableRaw[Durée (jours)])</f>
        <v>0</v>
      </c>
      <c r="D88" s="1" t="str">
        <f t="shared" si="3"/>
        <v/>
      </c>
      <c r="E88" s="1" cm="1">
        <f t="array" ref="E88">IFERROR(MIN(IF(TableRaw[Tâche]=A88,TableRaw[Durée (jours)])),"")</f>
        <v>0</v>
      </c>
      <c r="F88" s="1" t="str" cm="1">
        <f t="array" ref="F88">IFERROR(LARGE(IF(TableRaw[Tâche]=A88,TableRaw[Durée (jours)]),1),"")</f>
        <v/>
      </c>
      <c r="G88" s="4" t="str">
        <f t="shared" si="4"/>
        <v/>
      </c>
      <c r="H88" s="1">
        <f>SUM(TableRaw[Durée (jours)])</f>
        <v>0</v>
      </c>
    </row>
    <row r="89" spans="1:8" x14ac:dyDescent="0.35">
      <c r="A89" cm="1">
        <f t="array" ref="A89">_xlfn.UNIQUE(TableRaw[Tâche])</f>
        <v>0</v>
      </c>
      <c r="B89">
        <f>COUNTIF(TableRaw[Tâche], A89)</f>
        <v>0</v>
      </c>
      <c r="C89" s="1">
        <f>SUMIF(TableRaw[Tâche], A89, TableRaw[Durée (jours)])</f>
        <v>0</v>
      </c>
      <c r="D89" s="1" t="str">
        <f t="shared" si="3"/>
        <v/>
      </c>
      <c r="E89" s="1" cm="1">
        <f t="array" ref="E89">IFERROR(MIN(IF(TableRaw[Tâche]=A89,TableRaw[Durée (jours)])),"")</f>
        <v>0</v>
      </c>
      <c r="F89" s="1" t="str" cm="1">
        <f t="array" ref="F89">IFERROR(LARGE(IF(TableRaw[Tâche]=A89,TableRaw[Durée (jours)]),1),"")</f>
        <v/>
      </c>
      <c r="G89" s="4" t="str">
        <f t="shared" si="4"/>
        <v/>
      </c>
      <c r="H89" s="1">
        <f>SUM(TableRaw[Durée (jours)])</f>
        <v>0</v>
      </c>
    </row>
    <row r="90" spans="1:8" x14ac:dyDescent="0.35">
      <c r="A90" cm="1">
        <f t="array" ref="A90">_xlfn.UNIQUE(TableRaw[Tâche])</f>
        <v>0</v>
      </c>
      <c r="B90">
        <f>COUNTIF(TableRaw[Tâche], A90)</f>
        <v>0</v>
      </c>
      <c r="C90" s="1">
        <f>SUMIF(TableRaw[Tâche], A90, TableRaw[Durée (jours)])</f>
        <v>0</v>
      </c>
      <c r="D90" s="1" t="str">
        <f t="shared" si="3"/>
        <v/>
      </c>
      <c r="E90" s="1" cm="1">
        <f t="array" ref="E90">IFERROR(MIN(IF(TableRaw[Tâche]=A90,TableRaw[Durée (jours)])),"")</f>
        <v>0</v>
      </c>
      <c r="F90" s="1" t="str" cm="1">
        <f t="array" ref="F90">IFERROR(LARGE(IF(TableRaw[Tâche]=A90,TableRaw[Durée (jours)]),1),"")</f>
        <v/>
      </c>
      <c r="G90" s="4" t="str">
        <f t="shared" si="4"/>
        <v/>
      </c>
      <c r="H90" s="1">
        <f>SUM(TableRaw[Durée (jours)])</f>
        <v>0</v>
      </c>
    </row>
    <row r="91" spans="1:8" x14ac:dyDescent="0.35">
      <c r="A91" cm="1">
        <f t="array" ref="A91">_xlfn.UNIQUE(TableRaw[Tâche])</f>
        <v>0</v>
      </c>
      <c r="B91">
        <f>COUNTIF(TableRaw[Tâche], A91)</f>
        <v>0</v>
      </c>
      <c r="C91" s="1">
        <f>SUMIF(TableRaw[Tâche], A91, TableRaw[Durée (jours)])</f>
        <v>0</v>
      </c>
      <c r="D91" s="1" t="str">
        <f t="shared" si="3"/>
        <v/>
      </c>
      <c r="E91" s="1" cm="1">
        <f t="array" ref="E91">IFERROR(MIN(IF(TableRaw[Tâche]=A91,TableRaw[Durée (jours)])),"")</f>
        <v>0</v>
      </c>
      <c r="F91" s="1" t="str" cm="1">
        <f t="array" ref="F91">IFERROR(LARGE(IF(TableRaw[Tâche]=A91,TableRaw[Durée (jours)]),1),"")</f>
        <v/>
      </c>
      <c r="G91" s="4" t="str">
        <f t="shared" si="4"/>
        <v/>
      </c>
      <c r="H91" s="1">
        <f>SUM(TableRaw[Durée (jours)])</f>
        <v>0</v>
      </c>
    </row>
    <row r="92" spans="1:8" x14ac:dyDescent="0.35">
      <c r="A92" cm="1">
        <f t="array" ref="A92">_xlfn.UNIQUE(TableRaw[Tâche])</f>
        <v>0</v>
      </c>
      <c r="B92">
        <f>COUNTIF(TableRaw[Tâche], A92)</f>
        <v>0</v>
      </c>
      <c r="C92" s="1">
        <f>SUMIF(TableRaw[Tâche], A92, TableRaw[Durée (jours)])</f>
        <v>0</v>
      </c>
      <c r="D92" s="1" t="str">
        <f t="shared" si="3"/>
        <v/>
      </c>
      <c r="E92" s="1" cm="1">
        <f t="array" ref="E92">IFERROR(MIN(IF(TableRaw[Tâche]=A92,TableRaw[Durée (jours)])),"")</f>
        <v>0</v>
      </c>
      <c r="F92" s="1" t="str" cm="1">
        <f t="array" ref="F92">IFERROR(LARGE(IF(TableRaw[Tâche]=A92,TableRaw[Durée (jours)]),1),"")</f>
        <v/>
      </c>
      <c r="G92" s="4" t="str">
        <f t="shared" si="4"/>
        <v/>
      </c>
      <c r="H92" s="1">
        <f>SUM(TableRaw[Durée (jours)])</f>
        <v>0</v>
      </c>
    </row>
    <row r="93" spans="1:8" x14ac:dyDescent="0.35">
      <c r="A93" cm="1">
        <f t="array" ref="A93">_xlfn.UNIQUE(TableRaw[Tâche])</f>
        <v>0</v>
      </c>
      <c r="B93">
        <f>COUNTIF(TableRaw[Tâche], A93)</f>
        <v>0</v>
      </c>
      <c r="C93" s="1">
        <f>SUMIF(TableRaw[Tâche], A93, TableRaw[Durée (jours)])</f>
        <v>0</v>
      </c>
      <c r="D93" s="1" t="str">
        <f t="shared" si="3"/>
        <v/>
      </c>
      <c r="E93" s="1" cm="1">
        <f t="array" ref="E93">IFERROR(MIN(IF(TableRaw[Tâche]=A93,TableRaw[Durée (jours)])),"")</f>
        <v>0</v>
      </c>
      <c r="F93" s="1" t="str" cm="1">
        <f t="array" ref="F93">IFERROR(LARGE(IF(TableRaw[Tâche]=A93,TableRaw[Durée (jours)]),1),"")</f>
        <v/>
      </c>
      <c r="G93" s="4" t="str">
        <f t="shared" si="4"/>
        <v/>
      </c>
      <c r="H93" s="1">
        <f>SUM(TableRaw[Durée (jours)])</f>
        <v>0</v>
      </c>
    </row>
    <row r="94" spans="1:8" x14ac:dyDescent="0.35">
      <c r="A94" cm="1">
        <f t="array" ref="A94">_xlfn.UNIQUE(TableRaw[Tâche])</f>
        <v>0</v>
      </c>
      <c r="B94">
        <f>COUNTIF(TableRaw[Tâche], A94)</f>
        <v>0</v>
      </c>
      <c r="C94" s="1">
        <f>SUMIF(TableRaw[Tâche], A94, TableRaw[Durée (jours)])</f>
        <v>0</v>
      </c>
      <c r="D94" s="1" t="str">
        <f t="shared" si="3"/>
        <v/>
      </c>
      <c r="E94" s="1" cm="1">
        <f t="array" ref="E94">IFERROR(MIN(IF(TableRaw[Tâche]=A94,TableRaw[Durée (jours)])),"")</f>
        <v>0</v>
      </c>
      <c r="F94" s="1" t="str" cm="1">
        <f t="array" ref="F94">IFERROR(LARGE(IF(TableRaw[Tâche]=A94,TableRaw[Durée (jours)]),1),"")</f>
        <v/>
      </c>
      <c r="G94" s="4" t="str">
        <f t="shared" si="4"/>
        <v/>
      </c>
      <c r="H94" s="1">
        <f>SUM(TableRaw[Durée (jours)])</f>
        <v>0</v>
      </c>
    </row>
    <row r="95" spans="1:8" x14ac:dyDescent="0.35">
      <c r="A95" cm="1">
        <f t="array" ref="A95">_xlfn.UNIQUE(TableRaw[Tâche])</f>
        <v>0</v>
      </c>
      <c r="B95">
        <f>COUNTIF(TableRaw[Tâche], A95)</f>
        <v>0</v>
      </c>
      <c r="C95" s="1">
        <f>SUMIF(TableRaw[Tâche], A95, TableRaw[Durée (jours)])</f>
        <v>0</v>
      </c>
      <c r="D95" s="1" t="str">
        <f t="shared" si="3"/>
        <v/>
      </c>
      <c r="E95" s="1" cm="1">
        <f t="array" ref="E95">IFERROR(MIN(IF(TableRaw[Tâche]=A95,TableRaw[Durée (jours)])),"")</f>
        <v>0</v>
      </c>
      <c r="F95" s="1" t="str" cm="1">
        <f t="array" ref="F95">IFERROR(LARGE(IF(TableRaw[Tâche]=A95,TableRaw[Durée (jours)]),1),"")</f>
        <v/>
      </c>
      <c r="G95" s="4" t="str">
        <f t="shared" si="4"/>
        <v/>
      </c>
      <c r="H95" s="1">
        <f>SUM(TableRaw[Durée (jours)])</f>
        <v>0</v>
      </c>
    </row>
    <row r="96" spans="1:8" x14ac:dyDescent="0.35">
      <c r="A96" cm="1">
        <f t="array" ref="A96">_xlfn.UNIQUE(TableRaw[Tâche])</f>
        <v>0</v>
      </c>
      <c r="B96">
        <f>COUNTIF(TableRaw[Tâche], A96)</f>
        <v>0</v>
      </c>
      <c r="C96" s="1">
        <f>SUMIF(TableRaw[Tâche], A96, TableRaw[Durée (jours)])</f>
        <v>0</v>
      </c>
      <c r="D96" s="1" t="str">
        <f t="shared" si="3"/>
        <v/>
      </c>
      <c r="E96" s="1" cm="1">
        <f t="array" ref="E96">IFERROR(MIN(IF(TableRaw[Tâche]=A96,TableRaw[Durée (jours)])),"")</f>
        <v>0</v>
      </c>
      <c r="F96" s="1" t="str" cm="1">
        <f t="array" ref="F96">IFERROR(LARGE(IF(TableRaw[Tâche]=A96,TableRaw[Durée (jours)]),1),"")</f>
        <v/>
      </c>
      <c r="G96" s="4" t="str">
        <f t="shared" si="4"/>
        <v/>
      </c>
      <c r="H96" s="1">
        <f>SUM(TableRaw[Durée (jours)])</f>
        <v>0</v>
      </c>
    </row>
    <row r="97" spans="1:8" x14ac:dyDescent="0.35">
      <c r="A97" cm="1">
        <f t="array" ref="A97">_xlfn.UNIQUE(TableRaw[Tâche])</f>
        <v>0</v>
      </c>
      <c r="B97">
        <f>COUNTIF(TableRaw[Tâche], A97)</f>
        <v>0</v>
      </c>
      <c r="C97" s="1">
        <f>SUMIF(TableRaw[Tâche], A97, TableRaw[Durée (jours)])</f>
        <v>0</v>
      </c>
      <c r="D97" s="1" t="str">
        <f t="shared" si="3"/>
        <v/>
      </c>
      <c r="E97" s="1" cm="1">
        <f t="array" ref="E97">IFERROR(MIN(IF(TableRaw[Tâche]=A97,TableRaw[Durée (jours)])),"")</f>
        <v>0</v>
      </c>
      <c r="F97" s="1" t="str" cm="1">
        <f t="array" ref="F97">IFERROR(LARGE(IF(TableRaw[Tâche]=A97,TableRaw[Durée (jours)]),1),"")</f>
        <v/>
      </c>
      <c r="G97" s="4" t="str">
        <f t="shared" si="4"/>
        <v/>
      </c>
      <c r="H97" s="1">
        <f>SUM(TableRaw[Durée (jours)])</f>
        <v>0</v>
      </c>
    </row>
    <row r="98" spans="1:8" x14ac:dyDescent="0.35">
      <c r="A98" cm="1">
        <f t="array" ref="A98">_xlfn.UNIQUE(TableRaw[Tâche])</f>
        <v>0</v>
      </c>
      <c r="B98">
        <f>COUNTIF(TableRaw[Tâche], A98)</f>
        <v>0</v>
      </c>
      <c r="C98" s="1">
        <f>SUMIF(TableRaw[Tâche], A98, TableRaw[Durée (jours)])</f>
        <v>0</v>
      </c>
      <c r="D98" s="1" t="str">
        <f t="shared" si="3"/>
        <v/>
      </c>
      <c r="E98" s="1" cm="1">
        <f t="array" ref="E98">IFERROR(MIN(IF(TableRaw[Tâche]=A98,TableRaw[Durée (jours)])),"")</f>
        <v>0</v>
      </c>
      <c r="F98" s="1" t="str" cm="1">
        <f t="array" ref="F98">IFERROR(LARGE(IF(TableRaw[Tâche]=A98,TableRaw[Durée (jours)]),1),"")</f>
        <v/>
      </c>
      <c r="G98" s="4" t="str">
        <f t="shared" ref="G98:G129" si="5">IF($H$2=0,"",C98 / $H$2)</f>
        <v/>
      </c>
      <c r="H98" s="1">
        <f>SUM(TableRaw[Durée (jours)])</f>
        <v>0</v>
      </c>
    </row>
    <row r="99" spans="1:8" x14ac:dyDescent="0.35">
      <c r="A99" cm="1">
        <f t="array" ref="A99">_xlfn.UNIQUE(TableRaw[Tâche])</f>
        <v>0</v>
      </c>
      <c r="B99">
        <f>COUNTIF(TableRaw[Tâche], A99)</f>
        <v>0</v>
      </c>
      <c r="C99" s="1">
        <f>SUMIF(TableRaw[Tâche], A99, TableRaw[Durée (jours)])</f>
        <v>0</v>
      </c>
      <c r="D99" s="1" t="str">
        <f t="shared" si="3"/>
        <v/>
      </c>
      <c r="E99" s="1" cm="1">
        <f t="array" ref="E99">IFERROR(MIN(IF(TableRaw[Tâche]=A99,TableRaw[Durée (jours)])),"")</f>
        <v>0</v>
      </c>
      <c r="F99" s="1" t="str" cm="1">
        <f t="array" ref="F99">IFERROR(LARGE(IF(TableRaw[Tâche]=A99,TableRaw[Durée (jours)]),1),"")</f>
        <v/>
      </c>
      <c r="G99" s="4" t="str">
        <f t="shared" si="5"/>
        <v/>
      </c>
      <c r="H99" s="1">
        <f>SUM(TableRaw[Durée (jours)])</f>
        <v>0</v>
      </c>
    </row>
    <row r="100" spans="1:8" x14ac:dyDescent="0.35">
      <c r="A100" cm="1">
        <f t="array" ref="A100">_xlfn.UNIQUE(TableRaw[Tâche])</f>
        <v>0</v>
      </c>
      <c r="B100">
        <f>COUNTIF(TableRaw[Tâche], A100)</f>
        <v>0</v>
      </c>
      <c r="C100" s="1">
        <f>SUMIF(TableRaw[Tâche], A100, TableRaw[Durée (jours)])</f>
        <v>0</v>
      </c>
      <c r="D100" s="1" t="str">
        <f t="shared" si="3"/>
        <v/>
      </c>
      <c r="E100" s="1" cm="1">
        <f t="array" ref="E100">IFERROR(MIN(IF(TableRaw[Tâche]=A100,TableRaw[Durée (jours)])),"")</f>
        <v>0</v>
      </c>
      <c r="F100" s="1" t="str" cm="1">
        <f t="array" ref="F100">IFERROR(LARGE(IF(TableRaw[Tâche]=A100,TableRaw[Durée (jours)]),1),"")</f>
        <v/>
      </c>
      <c r="G100" s="4" t="str">
        <f t="shared" si="5"/>
        <v/>
      </c>
      <c r="H100" s="1">
        <f>SUM(TableRaw[Durée (jours)])</f>
        <v>0</v>
      </c>
    </row>
    <row r="101" spans="1:8" x14ac:dyDescent="0.35">
      <c r="A101" cm="1">
        <f t="array" ref="A101">_xlfn.UNIQUE(TableRaw[Tâche])</f>
        <v>0</v>
      </c>
      <c r="B101">
        <f>COUNTIF(TableRaw[Tâche], A101)</f>
        <v>0</v>
      </c>
      <c r="C101" s="1">
        <f>SUMIF(TableRaw[Tâche], A101, TableRaw[Durée (jours)])</f>
        <v>0</v>
      </c>
      <c r="D101" s="1" t="str">
        <f t="shared" si="3"/>
        <v/>
      </c>
      <c r="E101" s="1" cm="1">
        <f t="array" ref="E101">IFERROR(MIN(IF(TableRaw[Tâche]=A101,TableRaw[Durée (jours)])),"")</f>
        <v>0</v>
      </c>
      <c r="F101" s="1" t="str" cm="1">
        <f t="array" ref="F101">IFERROR(LARGE(IF(TableRaw[Tâche]=A101,TableRaw[Durée (jours)]),1),"")</f>
        <v/>
      </c>
      <c r="G101" s="4" t="str">
        <f t="shared" si="5"/>
        <v/>
      </c>
      <c r="H101" s="1">
        <f>SUM(TableRaw[Durée (jours)])</f>
        <v>0</v>
      </c>
    </row>
    <row r="102" spans="1:8" x14ac:dyDescent="0.35">
      <c r="A102" cm="1">
        <f t="array" ref="A102">_xlfn.UNIQUE(TableRaw[Tâche])</f>
        <v>0</v>
      </c>
      <c r="B102">
        <f>COUNTIF(TableRaw[Tâche], A102)</f>
        <v>0</v>
      </c>
      <c r="C102" s="1">
        <f>SUMIF(TableRaw[Tâche], A102, TableRaw[Durée (jours)])</f>
        <v>0</v>
      </c>
      <c r="D102" s="1" t="str">
        <f t="shared" si="3"/>
        <v/>
      </c>
      <c r="E102" s="1" cm="1">
        <f t="array" ref="E102">IFERROR(MIN(IF(TableRaw[Tâche]=A102,TableRaw[Durée (jours)])),"")</f>
        <v>0</v>
      </c>
      <c r="F102" s="1" t="str" cm="1">
        <f t="array" ref="F102">IFERROR(LARGE(IF(TableRaw[Tâche]=A102,TableRaw[Durée (jours)]),1),"")</f>
        <v/>
      </c>
      <c r="G102" s="4" t="str">
        <f t="shared" si="5"/>
        <v/>
      </c>
      <c r="H102" s="1">
        <f>SUM(TableRaw[Durée (jours)])</f>
        <v>0</v>
      </c>
    </row>
    <row r="103" spans="1:8" x14ac:dyDescent="0.35">
      <c r="A103" cm="1">
        <f t="array" ref="A103">_xlfn.UNIQUE(TableRaw[Tâche])</f>
        <v>0</v>
      </c>
      <c r="B103">
        <f>COUNTIF(TableRaw[Tâche], A103)</f>
        <v>0</v>
      </c>
      <c r="C103" s="1">
        <f>SUMIF(TableRaw[Tâche], A103, TableRaw[Durée (jours)])</f>
        <v>0</v>
      </c>
      <c r="D103" s="1" t="str">
        <f t="shared" si="3"/>
        <v/>
      </c>
      <c r="E103" s="1" cm="1">
        <f t="array" ref="E103">IFERROR(MIN(IF(TableRaw[Tâche]=A103,TableRaw[Durée (jours)])),"")</f>
        <v>0</v>
      </c>
      <c r="F103" s="1" t="str" cm="1">
        <f t="array" ref="F103">IFERROR(LARGE(IF(TableRaw[Tâche]=A103,TableRaw[Durée (jours)]),1),"")</f>
        <v/>
      </c>
      <c r="G103" s="4" t="str">
        <f t="shared" si="5"/>
        <v/>
      </c>
      <c r="H103" s="1">
        <f>SUM(TableRaw[Durée (jours)])</f>
        <v>0</v>
      </c>
    </row>
    <row r="104" spans="1:8" x14ac:dyDescent="0.35">
      <c r="A104" cm="1">
        <f t="array" ref="A104">_xlfn.UNIQUE(TableRaw[Tâche])</f>
        <v>0</v>
      </c>
      <c r="B104">
        <f>COUNTIF(TableRaw[Tâche], A104)</f>
        <v>0</v>
      </c>
      <c r="C104" s="1">
        <f>SUMIF(TableRaw[Tâche], A104, TableRaw[Durée (jours)])</f>
        <v>0</v>
      </c>
      <c r="D104" s="1" t="str">
        <f t="shared" si="3"/>
        <v/>
      </c>
      <c r="E104" s="1" cm="1">
        <f t="array" ref="E104">IFERROR(MIN(IF(TableRaw[Tâche]=A104,TableRaw[Durée (jours)])),"")</f>
        <v>0</v>
      </c>
      <c r="F104" s="1" t="str" cm="1">
        <f t="array" ref="F104">IFERROR(LARGE(IF(TableRaw[Tâche]=A104,TableRaw[Durée (jours)]),1),"")</f>
        <v/>
      </c>
      <c r="G104" s="4" t="str">
        <f t="shared" si="5"/>
        <v/>
      </c>
      <c r="H104" s="1">
        <f>SUM(TableRaw[Durée (jours)])</f>
        <v>0</v>
      </c>
    </row>
    <row r="105" spans="1:8" x14ac:dyDescent="0.35">
      <c r="A105" cm="1">
        <f t="array" ref="A105">_xlfn.UNIQUE(TableRaw[Tâche])</f>
        <v>0</v>
      </c>
      <c r="B105">
        <f>COUNTIF(TableRaw[Tâche], A105)</f>
        <v>0</v>
      </c>
      <c r="C105" s="1">
        <f>SUMIF(TableRaw[Tâche], A105, TableRaw[Durée (jours)])</f>
        <v>0</v>
      </c>
      <c r="D105" s="1" t="str">
        <f t="shared" si="3"/>
        <v/>
      </c>
      <c r="E105" s="1" cm="1">
        <f t="array" ref="E105">IFERROR(MIN(IF(TableRaw[Tâche]=A105,TableRaw[Durée (jours)])),"")</f>
        <v>0</v>
      </c>
      <c r="F105" s="1" t="str" cm="1">
        <f t="array" ref="F105">IFERROR(LARGE(IF(TableRaw[Tâche]=A105,TableRaw[Durée (jours)]),1),"")</f>
        <v/>
      </c>
      <c r="G105" s="4" t="str">
        <f t="shared" si="5"/>
        <v/>
      </c>
      <c r="H105" s="1">
        <f>SUM(TableRaw[Durée (jours)])</f>
        <v>0</v>
      </c>
    </row>
    <row r="106" spans="1:8" x14ac:dyDescent="0.35">
      <c r="A106" cm="1">
        <f t="array" ref="A106">_xlfn.UNIQUE(TableRaw[Tâche])</f>
        <v>0</v>
      </c>
      <c r="B106">
        <f>COUNTIF(TableRaw[Tâche], A106)</f>
        <v>0</v>
      </c>
      <c r="C106" s="1">
        <f>SUMIF(TableRaw[Tâche], A106, TableRaw[Durée (jours)])</f>
        <v>0</v>
      </c>
      <c r="D106" s="1" t="str">
        <f t="shared" si="3"/>
        <v/>
      </c>
      <c r="E106" s="1" cm="1">
        <f t="array" ref="E106">IFERROR(MIN(IF(TableRaw[Tâche]=A106,TableRaw[Durée (jours)])),"")</f>
        <v>0</v>
      </c>
      <c r="F106" s="1" t="str" cm="1">
        <f t="array" ref="F106">IFERROR(LARGE(IF(TableRaw[Tâche]=A106,TableRaw[Durée (jours)]),1),"")</f>
        <v/>
      </c>
      <c r="G106" s="4" t="str">
        <f t="shared" si="5"/>
        <v/>
      </c>
      <c r="H106" s="1">
        <f>SUM(TableRaw[Durée (jours)])</f>
        <v>0</v>
      </c>
    </row>
    <row r="107" spans="1:8" x14ac:dyDescent="0.35">
      <c r="A107" cm="1">
        <f t="array" ref="A107">_xlfn.UNIQUE(TableRaw[Tâche])</f>
        <v>0</v>
      </c>
      <c r="B107">
        <f>COUNTIF(TableRaw[Tâche], A107)</f>
        <v>0</v>
      </c>
      <c r="C107" s="1">
        <f>SUMIF(TableRaw[Tâche], A107, TableRaw[Durée (jours)])</f>
        <v>0</v>
      </c>
      <c r="D107" s="1" t="str">
        <f t="shared" si="3"/>
        <v/>
      </c>
      <c r="E107" s="1" cm="1">
        <f t="array" ref="E107">IFERROR(MIN(IF(TableRaw[Tâche]=A107,TableRaw[Durée (jours)])),"")</f>
        <v>0</v>
      </c>
      <c r="F107" s="1" t="str" cm="1">
        <f t="array" ref="F107">IFERROR(LARGE(IF(TableRaw[Tâche]=A107,TableRaw[Durée (jours)]),1),"")</f>
        <v/>
      </c>
      <c r="G107" s="4" t="str">
        <f t="shared" si="5"/>
        <v/>
      </c>
      <c r="H107" s="1">
        <f>SUM(TableRaw[Durée (jours)])</f>
        <v>0</v>
      </c>
    </row>
    <row r="108" spans="1:8" x14ac:dyDescent="0.35">
      <c r="A108" cm="1">
        <f t="array" ref="A108">_xlfn.UNIQUE(TableRaw[Tâche])</f>
        <v>0</v>
      </c>
      <c r="B108">
        <f>COUNTIF(TableRaw[Tâche], A108)</f>
        <v>0</v>
      </c>
      <c r="C108" s="1">
        <f>SUMIF(TableRaw[Tâche], A108, TableRaw[Durée (jours)])</f>
        <v>0</v>
      </c>
      <c r="D108" s="1" t="str">
        <f t="shared" si="3"/>
        <v/>
      </c>
      <c r="E108" s="1" cm="1">
        <f t="array" ref="E108">IFERROR(MIN(IF(TableRaw[Tâche]=A108,TableRaw[Durée (jours)])),"")</f>
        <v>0</v>
      </c>
      <c r="F108" s="1" t="str" cm="1">
        <f t="array" ref="F108">IFERROR(LARGE(IF(TableRaw[Tâche]=A108,TableRaw[Durée (jours)]),1),"")</f>
        <v/>
      </c>
      <c r="G108" s="4" t="str">
        <f t="shared" si="5"/>
        <v/>
      </c>
      <c r="H108" s="1">
        <f>SUM(TableRaw[Durée (jours)])</f>
        <v>0</v>
      </c>
    </row>
    <row r="109" spans="1:8" x14ac:dyDescent="0.35">
      <c r="A109" cm="1">
        <f t="array" ref="A109">_xlfn.UNIQUE(TableRaw[Tâche])</f>
        <v>0</v>
      </c>
      <c r="B109">
        <f>COUNTIF(TableRaw[Tâche], A109)</f>
        <v>0</v>
      </c>
      <c r="C109" s="1">
        <f>SUMIF(TableRaw[Tâche], A109, TableRaw[Durée (jours)])</f>
        <v>0</v>
      </c>
      <c r="D109" s="1" t="str">
        <f t="shared" si="3"/>
        <v/>
      </c>
      <c r="E109" s="1" cm="1">
        <f t="array" ref="E109">IFERROR(MIN(IF(TableRaw[Tâche]=A109,TableRaw[Durée (jours)])),"")</f>
        <v>0</v>
      </c>
      <c r="F109" s="1" t="str" cm="1">
        <f t="array" ref="F109">IFERROR(LARGE(IF(TableRaw[Tâche]=A109,TableRaw[Durée (jours)]),1),"")</f>
        <v/>
      </c>
      <c r="G109" s="4" t="str">
        <f t="shared" si="5"/>
        <v/>
      </c>
      <c r="H109" s="1">
        <f>SUM(TableRaw[Durée (jours)])</f>
        <v>0</v>
      </c>
    </row>
    <row r="110" spans="1:8" x14ac:dyDescent="0.35">
      <c r="A110" cm="1">
        <f t="array" ref="A110">_xlfn.UNIQUE(TableRaw[Tâche])</f>
        <v>0</v>
      </c>
      <c r="B110">
        <f>COUNTIF(TableRaw[Tâche], A110)</f>
        <v>0</v>
      </c>
      <c r="C110" s="1">
        <f>SUMIF(TableRaw[Tâche], A110, TableRaw[Durée (jours)])</f>
        <v>0</v>
      </c>
      <c r="D110" s="1" t="str">
        <f t="shared" si="3"/>
        <v/>
      </c>
      <c r="E110" s="1" cm="1">
        <f t="array" ref="E110">IFERROR(MIN(IF(TableRaw[Tâche]=A110,TableRaw[Durée (jours)])),"")</f>
        <v>0</v>
      </c>
      <c r="F110" s="1" t="str" cm="1">
        <f t="array" ref="F110">IFERROR(LARGE(IF(TableRaw[Tâche]=A110,TableRaw[Durée (jours)]),1),"")</f>
        <v/>
      </c>
      <c r="G110" s="4" t="str">
        <f t="shared" si="5"/>
        <v/>
      </c>
      <c r="H110" s="1">
        <f>SUM(TableRaw[Durée (jours)])</f>
        <v>0</v>
      </c>
    </row>
    <row r="111" spans="1:8" x14ac:dyDescent="0.35">
      <c r="A111" cm="1">
        <f t="array" ref="A111">_xlfn.UNIQUE(TableRaw[Tâche])</f>
        <v>0</v>
      </c>
      <c r="B111">
        <f>COUNTIF(TableRaw[Tâche], A111)</f>
        <v>0</v>
      </c>
      <c r="C111" s="1">
        <f>SUMIF(TableRaw[Tâche], A111, TableRaw[Durée (jours)])</f>
        <v>0</v>
      </c>
      <c r="D111" s="1" t="str">
        <f t="shared" si="3"/>
        <v/>
      </c>
      <c r="E111" s="1" cm="1">
        <f t="array" ref="E111">IFERROR(MIN(IF(TableRaw[Tâche]=A111,TableRaw[Durée (jours)])),"")</f>
        <v>0</v>
      </c>
      <c r="F111" s="1" t="str" cm="1">
        <f t="array" ref="F111">IFERROR(LARGE(IF(TableRaw[Tâche]=A111,TableRaw[Durée (jours)]),1),"")</f>
        <v/>
      </c>
      <c r="G111" s="4" t="str">
        <f t="shared" si="5"/>
        <v/>
      </c>
      <c r="H111" s="1">
        <f>SUM(TableRaw[Durée (jours)])</f>
        <v>0</v>
      </c>
    </row>
    <row r="112" spans="1:8" x14ac:dyDescent="0.35">
      <c r="A112" cm="1">
        <f t="array" ref="A112">_xlfn.UNIQUE(TableRaw[Tâche])</f>
        <v>0</v>
      </c>
      <c r="B112">
        <f>COUNTIF(TableRaw[Tâche], A112)</f>
        <v>0</v>
      </c>
      <c r="C112" s="1">
        <f>SUMIF(TableRaw[Tâche], A112, TableRaw[Durée (jours)])</f>
        <v>0</v>
      </c>
      <c r="D112" s="1" t="str">
        <f t="shared" si="3"/>
        <v/>
      </c>
      <c r="E112" s="1" cm="1">
        <f t="array" ref="E112">IFERROR(MIN(IF(TableRaw[Tâche]=A112,TableRaw[Durée (jours)])),"")</f>
        <v>0</v>
      </c>
      <c r="F112" s="1" t="str" cm="1">
        <f t="array" ref="F112">IFERROR(LARGE(IF(TableRaw[Tâche]=A112,TableRaw[Durée (jours)]),1),"")</f>
        <v/>
      </c>
      <c r="G112" s="4" t="str">
        <f t="shared" si="5"/>
        <v/>
      </c>
      <c r="H112" s="1">
        <f>SUM(TableRaw[Durée (jours)])</f>
        <v>0</v>
      </c>
    </row>
    <row r="113" spans="1:8" x14ac:dyDescent="0.35">
      <c r="A113" cm="1">
        <f t="array" ref="A113">_xlfn.UNIQUE(TableRaw[Tâche])</f>
        <v>0</v>
      </c>
      <c r="B113">
        <f>COUNTIF(TableRaw[Tâche], A113)</f>
        <v>0</v>
      </c>
      <c r="C113" s="1">
        <f>SUMIF(TableRaw[Tâche], A113, TableRaw[Durée (jours)])</f>
        <v>0</v>
      </c>
      <c r="D113" s="1" t="str">
        <f t="shared" si="3"/>
        <v/>
      </c>
      <c r="E113" s="1" cm="1">
        <f t="array" ref="E113">IFERROR(MIN(IF(TableRaw[Tâche]=A113,TableRaw[Durée (jours)])),"")</f>
        <v>0</v>
      </c>
      <c r="F113" s="1" t="str" cm="1">
        <f t="array" ref="F113">IFERROR(LARGE(IF(TableRaw[Tâche]=A113,TableRaw[Durée (jours)]),1),"")</f>
        <v/>
      </c>
      <c r="G113" s="4" t="str">
        <f t="shared" si="5"/>
        <v/>
      </c>
      <c r="H113" s="1">
        <f>SUM(TableRaw[Durée (jours)])</f>
        <v>0</v>
      </c>
    </row>
    <row r="114" spans="1:8" x14ac:dyDescent="0.35">
      <c r="A114" cm="1">
        <f t="array" ref="A114">_xlfn.UNIQUE(TableRaw[Tâche])</f>
        <v>0</v>
      </c>
      <c r="B114">
        <f>COUNTIF(TableRaw[Tâche], A114)</f>
        <v>0</v>
      </c>
      <c r="C114" s="1">
        <f>SUMIF(TableRaw[Tâche], A114, TableRaw[Durée (jours)])</f>
        <v>0</v>
      </c>
      <c r="D114" s="1" t="str">
        <f t="shared" si="3"/>
        <v/>
      </c>
      <c r="E114" s="1" cm="1">
        <f t="array" ref="E114">IFERROR(MIN(IF(TableRaw[Tâche]=A114,TableRaw[Durée (jours)])),"")</f>
        <v>0</v>
      </c>
      <c r="F114" s="1" t="str" cm="1">
        <f t="array" ref="F114">IFERROR(LARGE(IF(TableRaw[Tâche]=A114,TableRaw[Durée (jours)]),1),"")</f>
        <v/>
      </c>
      <c r="G114" s="4" t="str">
        <f t="shared" si="5"/>
        <v/>
      </c>
      <c r="H114" s="1">
        <f>SUM(TableRaw[Durée (jours)])</f>
        <v>0</v>
      </c>
    </row>
    <row r="115" spans="1:8" x14ac:dyDescent="0.35">
      <c r="A115" cm="1">
        <f t="array" ref="A115">_xlfn.UNIQUE(TableRaw[Tâche])</f>
        <v>0</v>
      </c>
      <c r="B115">
        <f>COUNTIF(TableRaw[Tâche], A115)</f>
        <v>0</v>
      </c>
      <c r="C115" s="1">
        <f>SUMIF(TableRaw[Tâche], A115, TableRaw[Durée (jours)])</f>
        <v>0</v>
      </c>
      <c r="D115" s="1" t="str">
        <f t="shared" si="3"/>
        <v/>
      </c>
      <c r="E115" s="1" cm="1">
        <f t="array" ref="E115">IFERROR(MIN(IF(TableRaw[Tâche]=A115,TableRaw[Durée (jours)])),"")</f>
        <v>0</v>
      </c>
      <c r="F115" s="1" t="str" cm="1">
        <f t="array" ref="F115">IFERROR(LARGE(IF(TableRaw[Tâche]=A115,TableRaw[Durée (jours)]),1),"")</f>
        <v/>
      </c>
      <c r="G115" s="4" t="str">
        <f t="shared" si="5"/>
        <v/>
      </c>
      <c r="H115" s="1">
        <f>SUM(TableRaw[Durée (jours)])</f>
        <v>0</v>
      </c>
    </row>
    <row r="116" spans="1:8" x14ac:dyDescent="0.35">
      <c r="A116" cm="1">
        <f t="array" ref="A116">_xlfn.UNIQUE(TableRaw[Tâche])</f>
        <v>0</v>
      </c>
      <c r="B116">
        <f>COUNTIF(TableRaw[Tâche], A116)</f>
        <v>0</v>
      </c>
      <c r="C116" s="1">
        <f>SUMIF(TableRaw[Tâche], A116, TableRaw[Durée (jours)])</f>
        <v>0</v>
      </c>
      <c r="D116" s="1" t="str">
        <f t="shared" si="3"/>
        <v/>
      </c>
      <c r="E116" s="1" cm="1">
        <f t="array" ref="E116">IFERROR(MIN(IF(TableRaw[Tâche]=A116,TableRaw[Durée (jours)])),"")</f>
        <v>0</v>
      </c>
      <c r="F116" s="1" t="str" cm="1">
        <f t="array" ref="F116">IFERROR(LARGE(IF(TableRaw[Tâche]=A116,TableRaw[Durée (jours)]),1),"")</f>
        <v/>
      </c>
      <c r="G116" s="4" t="str">
        <f t="shared" si="5"/>
        <v/>
      </c>
      <c r="H116" s="1">
        <f>SUM(TableRaw[Durée (jours)])</f>
        <v>0</v>
      </c>
    </row>
    <row r="117" spans="1:8" x14ac:dyDescent="0.35">
      <c r="A117" cm="1">
        <f t="array" ref="A117">_xlfn.UNIQUE(TableRaw[Tâche])</f>
        <v>0</v>
      </c>
      <c r="B117">
        <f>COUNTIF(TableRaw[Tâche], A117)</f>
        <v>0</v>
      </c>
      <c r="C117" s="1">
        <f>SUMIF(TableRaw[Tâche], A117, TableRaw[Durée (jours)])</f>
        <v>0</v>
      </c>
      <c r="D117" s="1" t="str">
        <f t="shared" si="3"/>
        <v/>
      </c>
      <c r="E117" s="1" cm="1">
        <f t="array" ref="E117">IFERROR(MIN(IF(TableRaw[Tâche]=A117,TableRaw[Durée (jours)])),"")</f>
        <v>0</v>
      </c>
      <c r="F117" s="1" t="str" cm="1">
        <f t="array" ref="F117">IFERROR(LARGE(IF(TableRaw[Tâche]=A117,TableRaw[Durée (jours)]),1),"")</f>
        <v/>
      </c>
      <c r="G117" s="4" t="str">
        <f t="shared" si="5"/>
        <v/>
      </c>
      <c r="H117" s="1">
        <f>SUM(TableRaw[Durée (jours)])</f>
        <v>0</v>
      </c>
    </row>
    <row r="118" spans="1:8" x14ac:dyDescent="0.35">
      <c r="A118" cm="1">
        <f t="array" ref="A118">_xlfn.UNIQUE(TableRaw[Tâche])</f>
        <v>0</v>
      </c>
      <c r="B118">
        <f>COUNTIF(TableRaw[Tâche], A118)</f>
        <v>0</v>
      </c>
      <c r="C118" s="1">
        <f>SUMIF(TableRaw[Tâche], A118, TableRaw[Durée (jours)])</f>
        <v>0</v>
      </c>
      <c r="D118" s="1" t="str">
        <f t="shared" si="3"/>
        <v/>
      </c>
      <c r="E118" s="1" cm="1">
        <f t="array" ref="E118">IFERROR(MIN(IF(TableRaw[Tâche]=A118,TableRaw[Durée (jours)])),"")</f>
        <v>0</v>
      </c>
      <c r="F118" s="1" t="str" cm="1">
        <f t="array" ref="F118">IFERROR(LARGE(IF(TableRaw[Tâche]=A118,TableRaw[Durée (jours)]),1),"")</f>
        <v/>
      </c>
      <c r="G118" s="4" t="str">
        <f t="shared" si="5"/>
        <v/>
      </c>
      <c r="H118" s="1">
        <f>SUM(TableRaw[Durée (jours)])</f>
        <v>0</v>
      </c>
    </row>
    <row r="119" spans="1:8" x14ac:dyDescent="0.35">
      <c r="A119" cm="1">
        <f t="array" ref="A119">_xlfn.UNIQUE(TableRaw[Tâche])</f>
        <v>0</v>
      </c>
      <c r="B119">
        <f>COUNTIF(TableRaw[Tâche], A119)</f>
        <v>0</v>
      </c>
      <c r="C119" s="1">
        <f>SUMIF(TableRaw[Tâche], A119, TableRaw[Durée (jours)])</f>
        <v>0</v>
      </c>
      <c r="D119" s="1" t="str">
        <f t="shared" si="3"/>
        <v/>
      </c>
      <c r="E119" s="1" cm="1">
        <f t="array" ref="E119">IFERROR(MIN(IF(TableRaw[Tâche]=A119,TableRaw[Durée (jours)])),"")</f>
        <v>0</v>
      </c>
      <c r="F119" s="1" t="str" cm="1">
        <f t="array" ref="F119">IFERROR(LARGE(IF(TableRaw[Tâche]=A119,TableRaw[Durée (jours)]),1),"")</f>
        <v/>
      </c>
      <c r="G119" s="4" t="str">
        <f t="shared" si="5"/>
        <v/>
      </c>
      <c r="H119" s="1">
        <f>SUM(TableRaw[Durée (jours)])</f>
        <v>0</v>
      </c>
    </row>
    <row r="120" spans="1:8" x14ac:dyDescent="0.35">
      <c r="A120" cm="1">
        <f t="array" ref="A120">_xlfn.UNIQUE(TableRaw[Tâche])</f>
        <v>0</v>
      </c>
      <c r="B120">
        <f>COUNTIF(TableRaw[Tâche], A120)</f>
        <v>0</v>
      </c>
      <c r="C120" s="1">
        <f>SUMIF(TableRaw[Tâche], A120, TableRaw[Durée (jours)])</f>
        <v>0</v>
      </c>
      <c r="D120" s="1" t="str">
        <f t="shared" si="3"/>
        <v/>
      </c>
      <c r="E120" s="1" cm="1">
        <f t="array" ref="E120">IFERROR(MIN(IF(TableRaw[Tâche]=A120,TableRaw[Durée (jours)])),"")</f>
        <v>0</v>
      </c>
      <c r="F120" s="1" t="str" cm="1">
        <f t="array" ref="F120">IFERROR(LARGE(IF(TableRaw[Tâche]=A120,TableRaw[Durée (jours)]),1),"")</f>
        <v/>
      </c>
      <c r="G120" s="4" t="str">
        <f t="shared" si="5"/>
        <v/>
      </c>
      <c r="H120" s="1">
        <f>SUM(TableRaw[Durée (jours)])</f>
        <v>0</v>
      </c>
    </row>
    <row r="121" spans="1:8" x14ac:dyDescent="0.35">
      <c r="A121" cm="1">
        <f t="array" ref="A121">_xlfn.UNIQUE(TableRaw[Tâche])</f>
        <v>0</v>
      </c>
      <c r="B121">
        <f>COUNTIF(TableRaw[Tâche], A121)</f>
        <v>0</v>
      </c>
      <c r="C121" s="1">
        <f>SUMIF(TableRaw[Tâche], A121, TableRaw[Durée (jours)])</f>
        <v>0</v>
      </c>
      <c r="D121" s="1" t="str">
        <f t="shared" si="3"/>
        <v/>
      </c>
      <c r="E121" s="1" cm="1">
        <f t="array" ref="E121">IFERROR(MIN(IF(TableRaw[Tâche]=A121,TableRaw[Durée (jours)])),"")</f>
        <v>0</v>
      </c>
      <c r="F121" s="1" t="str" cm="1">
        <f t="array" ref="F121">IFERROR(LARGE(IF(TableRaw[Tâche]=A121,TableRaw[Durée (jours)]),1),"")</f>
        <v/>
      </c>
      <c r="G121" s="4" t="str">
        <f t="shared" si="5"/>
        <v/>
      </c>
      <c r="H121" s="1">
        <f>SUM(TableRaw[Durée (jours)])</f>
        <v>0</v>
      </c>
    </row>
    <row r="122" spans="1:8" x14ac:dyDescent="0.35">
      <c r="A122" cm="1">
        <f t="array" ref="A122">_xlfn.UNIQUE(TableRaw[Tâche])</f>
        <v>0</v>
      </c>
      <c r="B122">
        <f>COUNTIF(TableRaw[Tâche], A122)</f>
        <v>0</v>
      </c>
      <c r="C122" s="1">
        <f>SUMIF(TableRaw[Tâche], A122, TableRaw[Durée (jours)])</f>
        <v>0</v>
      </c>
      <c r="D122" s="1" t="str">
        <f t="shared" si="3"/>
        <v/>
      </c>
      <c r="E122" s="1" cm="1">
        <f t="array" ref="E122">IFERROR(MIN(IF(TableRaw[Tâche]=A122,TableRaw[Durée (jours)])),"")</f>
        <v>0</v>
      </c>
      <c r="F122" s="1" t="str" cm="1">
        <f t="array" ref="F122">IFERROR(LARGE(IF(TableRaw[Tâche]=A122,TableRaw[Durée (jours)]),1),"")</f>
        <v/>
      </c>
      <c r="G122" s="4" t="str">
        <f t="shared" si="5"/>
        <v/>
      </c>
      <c r="H122" s="1">
        <f>SUM(TableRaw[Durée (jours)])</f>
        <v>0</v>
      </c>
    </row>
    <row r="123" spans="1:8" x14ac:dyDescent="0.35">
      <c r="A123" cm="1">
        <f t="array" ref="A123">_xlfn.UNIQUE(TableRaw[Tâche])</f>
        <v>0</v>
      </c>
      <c r="B123">
        <f>COUNTIF(TableRaw[Tâche], A123)</f>
        <v>0</v>
      </c>
      <c r="C123" s="1">
        <f>SUMIF(TableRaw[Tâche], A123, TableRaw[Durée (jours)])</f>
        <v>0</v>
      </c>
      <c r="D123" s="1" t="str">
        <f t="shared" si="3"/>
        <v/>
      </c>
      <c r="E123" s="1" cm="1">
        <f t="array" ref="E123">IFERROR(MIN(IF(TableRaw[Tâche]=A123,TableRaw[Durée (jours)])),"")</f>
        <v>0</v>
      </c>
      <c r="F123" s="1" t="str" cm="1">
        <f t="array" ref="F123">IFERROR(LARGE(IF(TableRaw[Tâche]=A123,TableRaw[Durée (jours)]),1),"")</f>
        <v/>
      </c>
      <c r="G123" s="4" t="str">
        <f t="shared" si="5"/>
        <v/>
      </c>
      <c r="H123" s="1">
        <f>SUM(TableRaw[Durée (jours)])</f>
        <v>0</v>
      </c>
    </row>
    <row r="124" spans="1:8" x14ac:dyDescent="0.35">
      <c r="A124" cm="1">
        <f t="array" ref="A124">_xlfn.UNIQUE(TableRaw[Tâche])</f>
        <v>0</v>
      </c>
      <c r="B124">
        <f>COUNTIF(TableRaw[Tâche], A124)</f>
        <v>0</v>
      </c>
      <c r="C124" s="1">
        <f>SUMIF(TableRaw[Tâche], A124, TableRaw[Durée (jours)])</f>
        <v>0</v>
      </c>
      <c r="D124" s="1" t="str">
        <f t="shared" si="3"/>
        <v/>
      </c>
      <c r="E124" s="1" cm="1">
        <f t="array" ref="E124">IFERROR(MIN(IF(TableRaw[Tâche]=A124,TableRaw[Durée (jours)])),"")</f>
        <v>0</v>
      </c>
      <c r="F124" s="1" t="str" cm="1">
        <f t="array" ref="F124">IFERROR(LARGE(IF(TableRaw[Tâche]=A124,TableRaw[Durée (jours)]),1),"")</f>
        <v/>
      </c>
      <c r="G124" s="4" t="str">
        <f t="shared" si="5"/>
        <v/>
      </c>
      <c r="H124" s="1">
        <f>SUM(TableRaw[Durée (jours)])</f>
        <v>0</v>
      </c>
    </row>
    <row r="125" spans="1:8" x14ac:dyDescent="0.35">
      <c r="A125" cm="1">
        <f t="array" ref="A125">_xlfn.UNIQUE(TableRaw[Tâche])</f>
        <v>0</v>
      </c>
      <c r="B125">
        <f>COUNTIF(TableRaw[Tâche], A125)</f>
        <v>0</v>
      </c>
      <c r="C125" s="1">
        <f>SUMIF(TableRaw[Tâche], A125, TableRaw[Durée (jours)])</f>
        <v>0</v>
      </c>
      <c r="D125" s="1" t="str">
        <f t="shared" si="3"/>
        <v/>
      </c>
      <c r="E125" s="1" cm="1">
        <f t="array" ref="E125">IFERROR(MIN(IF(TableRaw[Tâche]=A125,TableRaw[Durée (jours)])),"")</f>
        <v>0</v>
      </c>
      <c r="F125" s="1" t="str" cm="1">
        <f t="array" ref="F125">IFERROR(LARGE(IF(TableRaw[Tâche]=A125,TableRaw[Durée (jours)]),1),"")</f>
        <v/>
      </c>
      <c r="G125" s="4" t="str">
        <f t="shared" si="5"/>
        <v/>
      </c>
      <c r="H125" s="1">
        <f>SUM(TableRaw[Durée (jours)])</f>
        <v>0</v>
      </c>
    </row>
    <row r="126" spans="1:8" x14ac:dyDescent="0.35">
      <c r="A126" cm="1">
        <f t="array" ref="A126">_xlfn.UNIQUE(TableRaw[Tâche])</f>
        <v>0</v>
      </c>
      <c r="B126">
        <f>COUNTIF(TableRaw[Tâche], A126)</f>
        <v>0</v>
      </c>
      <c r="C126" s="1">
        <f>SUMIF(TableRaw[Tâche], A126, TableRaw[Durée (jours)])</f>
        <v>0</v>
      </c>
      <c r="D126" s="1" t="str">
        <f t="shared" si="3"/>
        <v/>
      </c>
      <c r="E126" s="1" cm="1">
        <f t="array" ref="E126">IFERROR(MIN(IF(TableRaw[Tâche]=A126,TableRaw[Durée (jours)])),"")</f>
        <v>0</v>
      </c>
      <c r="F126" s="1" t="str" cm="1">
        <f t="array" ref="F126">IFERROR(LARGE(IF(TableRaw[Tâche]=A126,TableRaw[Durée (jours)]),1),"")</f>
        <v/>
      </c>
      <c r="G126" s="4" t="str">
        <f t="shared" si="5"/>
        <v/>
      </c>
      <c r="H126" s="1">
        <f>SUM(TableRaw[Durée (jours)])</f>
        <v>0</v>
      </c>
    </row>
    <row r="127" spans="1:8" x14ac:dyDescent="0.35">
      <c r="A127" cm="1">
        <f t="array" ref="A127">_xlfn.UNIQUE(TableRaw[Tâche])</f>
        <v>0</v>
      </c>
      <c r="B127">
        <f>COUNTIF(TableRaw[Tâche], A127)</f>
        <v>0</v>
      </c>
      <c r="C127" s="1">
        <f>SUMIF(TableRaw[Tâche], A127, TableRaw[Durée (jours)])</f>
        <v>0</v>
      </c>
      <c r="D127" s="1" t="str">
        <f t="shared" si="3"/>
        <v/>
      </c>
      <c r="E127" s="1" cm="1">
        <f t="array" ref="E127">IFERROR(MIN(IF(TableRaw[Tâche]=A127,TableRaw[Durée (jours)])),"")</f>
        <v>0</v>
      </c>
      <c r="F127" s="1" t="str" cm="1">
        <f t="array" ref="F127">IFERROR(LARGE(IF(TableRaw[Tâche]=A127,TableRaw[Durée (jours)]),1),"")</f>
        <v/>
      </c>
      <c r="G127" s="4" t="str">
        <f t="shared" si="5"/>
        <v/>
      </c>
      <c r="H127" s="1">
        <f>SUM(TableRaw[Durée (jours)])</f>
        <v>0</v>
      </c>
    </row>
    <row r="128" spans="1:8" x14ac:dyDescent="0.35">
      <c r="A128" cm="1">
        <f t="array" ref="A128">_xlfn.UNIQUE(TableRaw[Tâche])</f>
        <v>0</v>
      </c>
      <c r="B128">
        <f>COUNTIF(TableRaw[Tâche], A128)</f>
        <v>0</v>
      </c>
      <c r="C128" s="1">
        <f>SUMIF(TableRaw[Tâche], A128, TableRaw[Durée (jours)])</f>
        <v>0</v>
      </c>
      <c r="D128" s="1" t="str">
        <f t="shared" si="3"/>
        <v/>
      </c>
      <c r="E128" s="1" cm="1">
        <f t="array" ref="E128">IFERROR(MIN(IF(TableRaw[Tâche]=A128,TableRaw[Durée (jours)])),"")</f>
        <v>0</v>
      </c>
      <c r="F128" s="1" t="str" cm="1">
        <f t="array" ref="F128">IFERROR(LARGE(IF(TableRaw[Tâche]=A128,TableRaw[Durée (jours)]),1),"")</f>
        <v/>
      </c>
      <c r="G128" s="4" t="str">
        <f t="shared" si="5"/>
        <v/>
      </c>
      <c r="H128" s="1">
        <f>SUM(TableRaw[Durée (jours)])</f>
        <v>0</v>
      </c>
    </row>
    <row r="129" spans="1:8" x14ac:dyDescent="0.35">
      <c r="A129" cm="1">
        <f t="array" ref="A129">_xlfn.UNIQUE(TableRaw[Tâche])</f>
        <v>0</v>
      </c>
      <c r="B129">
        <f>COUNTIF(TableRaw[Tâche], A129)</f>
        <v>0</v>
      </c>
      <c r="C129" s="1">
        <f>SUMIF(TableRaw[Tâche], A129, TableRaw[Durée (jours)])</f>
        <v>0</v>
      </c>
      <c r="D129" s="1" t="str">
        <f t="shared" si="3"/>
        <v/>
      </c>
      <c r="E129" s="1" cm="1">
        <f t="array" ref="E129">IFERROR(MIN(IF(TableRaw[Tâche]=A129,TableRaw[Durée (jours)])),"")</f>
        <v>0</v>
      </c>
      <c r="F129" s="1" t="str" cm="1">
        <f t="array" ref="F129">IFERROR(LARGE(IF(TableRaw[Tâche]=A129,TableRaw[Durée (jours)]),1),"")</f>
        <v/>
      </c>
      <c r="G129" s="4" t="str">
        <f t="shared" si="5"/>
        <v/>
      </c>
      <c r="H129" s="1">
        <f>SUM(TableRaw[Durée (jours)])</f>
        <v>0</v>
      </c>
    </row>
    <row r="130" spans="1:8" x14ac:dyDescent="0.35">
      <c r="A130" cm="1">
        <f t="array" ref="A130">_xlfn.UNIQUE(TableRaw[Tâche])</f>
        <v>0</v>
      </c>
      <c r="B130">
        <f>COUNTIF(TableRaw[Tâche], A130)</f>
        <v>0</v>
      </c>
      <c r="C130" s="1">
        <f>SUMIF(TableRaw[Tâche], A130, TableRaw[Durée (jours)])</f>
        <v>0</v>
      </c>
      <c r="D130" s="1" t="str">
        <f t="shared" ref="D130:D193" si="6">IF(B130=0,"",C130/B130)</f>
        <v/>
      </c>
      <c r="E130" s="1" cm="1">
        <f t="array" ref="E130">IFERROR(MIN(IF(TableRaw[Tâche]=A130,TableRaw[Durée (jours)])),"")</f>
        <v>0</v>
      </c>
      <c r="F130" s="1" t="str" cm="1">
        <f t="array" ref="F130">IFERROR(LARGE(IF(TableRaw[Tâche]=A130,TableRaw[Durée (jours)]),1),"")</f>
        <v/>
      </c>
      <c r="G130" s="4" t="str">
        <f t="shared" ref="G130:G161" si="7">IF($H$2=0,"",C130 / $H$2)</f>
        <v/>
      </c>
      <c r="H130" s="1">
        <f>SUM(TableRaw[Durée (jours)])</f>
        <v>0</v>
      </c>
    </row>
    <row r="131" spans="1:8" x14ac:dyDescent="0.35">
      <c r="A131" cm="1">
        <f t="array" ref="A131">_xlfn.UNIQUE(TableRaw[Tâche])</f>
        <v>0</v>
      </c>
      <c r="B131">
        <f>COUNTIF(TableRaw[Tâche], A131)</f>
        <v>0</v>
      </c>
      <c r="C131" s="1">
        <f>SUMIF(TableRaw[Tâche], A131, TableRaw[Durée (jours)])</f>
        <v>0</v>
      </c>
      <c r="D131" s="1" t="str">
        <f t="shared" si="6"/>
        <v/>
      </c>
      <c r="E131" s="1" cm="1">
        <f t="array" ref="E131">IFERROR(MIN(IF(TableRaw[Tâche]=A131,TableRaw[Durée (jours)])),"")</f>
        <v>0</v>
      </c>
      <c r="F131" s="1" t="str" cm="1">
        <f t="array" ref="F131">IFERROR(LARGE(IF(TableRaw[Tâche]=A131,TableRaw[Durée (jours)]),1),"")</f>
        <v/>
      </c>
      <c r="G131" s="4" t="str">
        <f t="shared" si="7"/>
        <v/>
      </c>
      <c r="H131" s="1">
        <f>SUM(TableRaw[Durée (jours)])</f>
        <v>0</v>
      </c>
    </row>
    <row r="132" spans="1:8" x14ac:dyDescent="0.35">
      <c r="A132" cm="1">
        <f t="array" ref="A132">_xlfn.UNIQUE(TableRaw[Tâche])</f>
        <v>0</v>
      </c>
      <c r="B132">
        <f>COUNTIF(TableRaw[Tâche], A132)</f>
        <v>0</v>
      </c>
      <c r="C132" s="1">
        <f>SUMIF(TableRaw[Tâche], A132, TableRaw[Durée (jours)])</f>
        <v>0</v>
      </c>
      <c r="D132" s="1" t="str">
        <f t="shared" si="6"/>
        <v/>
      </c>
      <c r="E132" s="1" cm="1">
        <f t="array" ref="E132">IFERROR(MIN(IF(TableRaw[Tâche]=A132,TableRaw[Durée (jours)])),"")</f>
        <v>0</v>
      </c>
      <c r="F132" s="1" t="str" cm="1">
        <f t="array" ref="F132">IFERROR(LARGE(IF(TableRaw[Tâche]=A132,TableRaw[Durée (jours)]),1),"")</f>
        <v/>
      </c>
      <c r="G132" s="4" t="str">
        <f t="shared" si="7"/>
        <v/>
      </c>
      <c r="H132" s="1">
        <f>SUM(TableRaw[Durée (jours)])</f>
        <v>0</v>
      </c>
    </row>
    <row r="133" spans="1:8" x14ac:dyDescent="0.35">
      <c r="A133" cm="1">
        <f t="array" ref="A133">_xlfn.UNIQUE(TableRaw[Tâche])</f>
        <v>0</v>
      </c>
      <c r="B133">
        <f>COUNTIF(TableRaw[Tâche], A133)</f>
        <v>0</v>
      </c>
      <c r="C133" s="1">
        <f>SUMIF(TableRaw[Tâche], A133, TableRaw[Durée (jours)])</f>
        <v>0</v>
      </c>
      <c r="D133" s="1" t="str">
        <f t="shared" si="6"/>
        <v/>
      </c>
      <c r="E133" s="1" cm="1">
        <f t="array" ref="E133">IFERROR(MIN(IF(TableRaw[Tâche]=A133,TableRaw[Durée (jours)])),"")</f>
        <v>0</v>
      </c>
      <c r="F133" s="1" t="str" cm="1">
        <f t="array" ref="F133">IFERROR(LARGE(IF(TableRaw[Tâche]=A133,TableRaw[Durée (jours)]),1),"")</f>
        <v/>
      </c>
      <c r="G133" s="4" t="str">
        <f t="shared" si="7"/>
        <v/>
      </c>
      <c r="H133" s="1">
        <f>SUM(TableRaw[Durée (jours)])</f>
        <v>0</v>
      </c>
    </row>
    <row r="134" spans="1:8" x14ac:dyDescent="0.35">
      <c r="A134" cm="1">
        <f t="array" ref="A134">_xlfn.UNIQUE(TableRaw[Tâche])</f>
        <v>0</v>
      </c>
      <c r="B134">
        <f>COUNTIF(TableRaw[Tâche], A134)</f>
        <v>0</v>
      </c>
      <c r="C134" s="1">
        <f>SUMIF(TableRaw[Tâche], A134, TableRaw[Durée (jours)])</f>
        <v>0</v>
      </c>
      <c r="D134" s="1" t="str">
        <f t="shared" si="6"/>
        <v/>
      </c>
      <c r="E134" s="1" cm="1">
        <f t="array" ref="E134">IFERROR(MIN(IF(TableRaw[Tâche]=A134,TableRaw[Durée (jours)])),"")</f>
        <v>0</v>
      </c>
      <c r="F134" s="1" t="str" cm="1">
        <f t="array" ref="F134">IFERROR(LARGE(IF(TableRaw[Tâche]=A134,TableRaw[Durée (jours)]),1),"")</f>
        <v/>
      </c>
      <c r="G134" s="4" t="str">
        <f t="shared" si="7"/>
        <v/>
      </c>
      <c r="H134" s="1">
        <f>SUM(TableRaw[Durée (jours)])</f>
        <v>0</v>
      </c>
    </row>
    <row r="135" spans="1:8" x14ac:dyDescent="0.35">
      <c r="A135" cm="1">
        <f t="array" ref="A135">_xlfn.UNIQUE(TableRaw[Tâche])</f>
        <v>0</v>
      </c>
      <c r="B135">
        <f>COUNTIF(TableRaw[Tâche], A135)</f>
        <v>0</v>
      </c>
      <c r="C135" s="1">
        <f>SUMIF(TableRaw[Tâche], A135, TableRaw[Durée (jours)])</f>
        <v>0</v>
      </c>
      <c r="D135" s="1" t="str">
        <f t="shared" si="6"/>
        <v/>
      </c>
      <c r="E135" s="1" cm="1">
        <f t="array" ref="E135">IFERROR(MIN(IF(TableRaw[Tâche]=A135,TableRaw[Durée (jours)])),"")</f>
        <v>0</v>
      </c>
      <c r="F135" s="1" t="str" cm="1">
        <f t="array" ref="F135">IFERROR(LARGE(IF(TableRaw[Tâche]=A135,TableRaw[Durée (jours)]),1),"")</f>
        <v/>
      </c>
      <c r="G135" s="4" t="str">
        <f t="shared" si="7"/>
        <v/>
      </c>
      <c r="H135" s="1">
        <f>SUM(TableRaw[Durée (jours)])</f>
        <v>0</v>
      </c>
    </row>
    <row r="136" spans="1:8" x14ac:dyDescent="0.35">
      <c r="A136" cm="1">
        <f t="array" ref="A136">_xlfn.UNIQUE(TableRaw[Tâche])</f>
        <v>0</v>
      </c>
      <c r="B136">
        <f>COUNTIF(TableRaw[Tâche], A136)</f>
        <v>0</v>
      </c>
      <c r="C136" s="1">
        <f>SUMIF(TableRaw[Tâche], A136, TableRaw[Durée (jours)])</f>
        <v>0</v>
      </c>
      <c r="D136" s="1" t="str">
        <f t="shared" si="6"/>
        <v/>
      </c>
      <c r="E136" s="1" cm="1">
        <f t="array" ref="E136">IFERROR(MIN(IF(TableRaw[Tâche]=A136,TableRaw[Durée (jours)])),"")</f>
        <v>0</v>
      </c>
      <c r="F136" s="1" t="str" cm="1">
        <f t="array" ref="F136">IFERROR(LARGE(IF(TableRaw[Tâche]=A136,TableRaw[Durée (jours)]),1),"")</f>
        <v/>
      </c>
      <c r="G136" s="4" t="str">
        <f t="shared" si="7"/>
        <v/>
      </c>
      <c r="H136" s="1">
        <f>SUM(TableRaw[Durée (jours)])</f>
        <v>0</v>
      </c>
    </row>
    <row r="137" spans="1:8" x14ac:dyDescent="0.35">
      <c r="A137" cm="1">
        <f t="array" ref="A137">_xlfn.UNIQUE(TableRaw[Tâche])</f>
        <v>0</v>
      </c>
      <c r="B137">
        <f>COUNTIF(TableRaw[Tâche], A137)</f>
        <v>0</v>
      </c>
      <c r="C137" s="1">
        <f>SUMIF(TableRaw[Tâche], A137, TableRaw[Durée (jours)])</f>
        <v>0</v>
      </c>
      <c r="D137" s="1" t="str">
        <f t="shared" si="6"/>
        <v/>
      </c>
      <c r="E137" s="1" cm="1">
        <f t="array" ref="E137">IFERROR(MIN(IF(TableRaw[Tâche]=A137,TableRaw[Durée (jours)])),"")</f>
        <v>0</v>
      </c>
      <c r="F137" s="1" t="str" cm="1">
        <f t="array" ref="F137">IFERROR(LARGE(IF(TableRaw[Tâche]=A137,TableRaw[Durée (jours)]),1),"")</f>
        <v/>
      </c>
      <c r="G137" s="4" t="str">
        <f t="shared" si="7"/>
        <v/>
      </c>
      <c r="H137" s="1">
        <f>SUM(TableRaw[Durée (jours)])</f>
        <v>0</v>
      </c>
    </row>
    <row r="138" spans="1:8" x14ac:dyDescent="0.35">
      <c r="A138" cm="1">
        <f t="array" ref="A138">_xlfn.UNIQUE(TableRaw[Tâche])</f>
        <v>0</v>
      </c>
      <c r="B138">
        <f>COUNTIF(TableRaw[Tâche], A138)</f>
        <v>0</v>
      </c>
      <c r="C138" s="1">
        <f>SUMIF(TableRaw[Tâche], A138, TableRaw[Durée (jours)])</f>
        <v>0</v>
      </c>
      <c r="D138" s="1" t="str">
        <f t="shared" si="6"/>
        <v/>
      </c>
      <c r="E138" s="1" cm="1">
        <f t="array" ref="E138">IFERROR(MIN(IF(TableRaw[Tâche]=A138,TableRaw[Durée (jours)])),"")</f>
        <v>0</v>
      </c>
      <c r="F138" s="1" t="str" cm="1">
        <f t="array" ref="F138">IFERROR(LARGE(IF(TableRaw[Tâche]=A138,TableRaw[Durée (jours)]),1),"")</f>
        <v/>
      </c>
      <c r="G138" s="4" t="str">
        <f t="shared" si="7"/>
        <v/>
      </c>
      <c r="H138" s="1">
        <f>SUM(TableRaw[Durée (jours)])</f>
        <v>0</v>
      </c>
    </row>
    <row r="139" spans="1:8" x14ac:dyDescent="0.35">
      <c r="A139" cm="1">
        <f t="array" ref="A139">_xlfn.UNIQUE(TableRaw[Tâche])</f>
        <v>0</v>
      </c>
      <c r="B139">
        <f>COUNTIF(TableRaw[Tâche], A139)</f>
        <v>0</v>
      </c>
      <c r="C139" s="1">
        <f>SUMIF(TableRaw[Tâche], A139, TableRaw[Durée (jours)])</f>
        <v>0</v>
      </c>
      <c r="D139" s="1" t="str">
        <f t="shared" si="6"/>
        <v/>
      </c>
      <c r="E139" s="1" cm="1">
        <f t="array" ref="E139">IFERROR(MIN(IF(TableRaw[Tâche]=A139,TableRaw[Durée (jours)])),"")</f>
        <v>0</v>
      </c>
      <c r="F139" s="1" t="str" cm="1">
        <f t="array" ref="F139">IFERROR(LARGE(IF(TableRaw[Tâche]=A139,TableRaw[Durée (jours)]),1),"")</f>
        <v/>
      </c>
      <c r="G139" s="4" t="str">
        <f t="shared" si="7"/>
        <v/>
      </c>
      <c r="H139" s="1">
        <f>SUM(TableRaw[Durée (jours)])</f>
        <v>0</v>
      </c>
    </row>
    <row r="140" spans="1:8" x14ac:dyDescent="0.35">
      <c r="A140" cm="1">
        <f t="array" ref="A140">_xlfn.UNIQUE(TableRaw[Tâche])</f>
        <v>0</v>
      </c>
      <c r="B140">
        <f>COUNTIF(TableRaw[Tâche], A140)</f>
        <v>0</v>
      </c>
      <c r="C140" s="1">
        <f>SUMIF(TableRaw[Tâche], A140, TableRaw[Durée (jours)])</f>
        <v>0</v>
      </c>
      <c r="D140" s="1" t="str">
        <f t="shared" si="6"/>
        <v/>
      </c>
      <c r="E140" s="1" cm="1">
        <f t="array" ref="E140">IFERROR(MIN(IF(TableRaw[Tâche]=A140,TableRaw[Durée (jours)])),"")</f>
        <v>0</v>
      </c>
      <c r="F140" s="1" t="str" cm="1">
        <f t="array" ref="F140">IFERROR(LARGE(IF(TableRaw[Tâche]=A140,TableRaw[Durée (jours)]),1),"")</f>
        <v/>
      </c>
      <c r="G140" s="4" t="str">
        <f t="shared" si="7"/>
        <v/>
      </c>
      <c r="H140" s="1">
        <f>SUM(TableRaw[Durée (jours)])</f>
        <v>0</v>
      </c>
    </row>
    <row r="141" spans="1:8" x14ac:dyDescent="0.35">
      <c r="A141" cm="1">
        <f t="array" ref="A141">_xlfn.UNIQUE(TableRaw[Tâche])</f>
        <v>0</v>
      </c>
      <c r="B141">
        <f>COUNTIF(TableRaw[Tâche], A141)</f>
        <v>0</v>
      </c>
      <c r="C141" s="1">
        <f>SUMIF(TableRaw[Tâche], A141, TableRaw[Durée (jours)])</f>
        <v>0</v>
      </c>
      <c r="D141" s="1" t="str">
        <f t="shared" si="6"/>
        <v/>
      </c>
      <c r="E141" s="1" cm="1">
        <f t="array" ref="E141">IFERROR(MIN(IF(TableRaw[Tâche]=A141,TableRaw[Durée (jours)])),"")</f>
        <v>0</v>
      </c>
      <c r="F141" s="1" t="str" cm="1">
        <f t="array" ref="F141">IFERROR(LARGE(IF(TableRaw[Tâche]=A141,TableRaw[Durée (jours)]),1),"")</f>
        <v/>
      </c>
      <c r="G141" s="4" t="str">
        <f t="shared" si="7"/>
        <v/>
      </c>
      <c r="H141" s="1">
        <f>SUM(TableRaw[Durée (jours)])</f>
        <v>0</v>
      </c>
    </row>
    <row r="142" spans="1:8" x14ac:dyDescent="0.35">
      <c r="A142" cm="1">
        <f t="array" ref="A142">_xlfn.UNIQUE(TableRaw[Tâche])</f>
        <v>0</v>
      </c>
      <c r="B142">
        <f>COUNTIF(TableRaw[Tâche], A142)</f>
        <v>0</v>
      </c>
      <c r="C142" s="1">
        <f>SUMIF(TableRaw[Tâche], A142, TableRaw[Durée (jours)])</f>
        <v>0</v>
      </c>
      <c r="D142" s="1" t="str">
        <f t="shared" si="6"/>
        <v/>
      </c>
      <c r="E142" s="1" cm="1">
        <f t="array" ref="E142">IFERROR(MIN(IF(TableRaw[Tâche]=A142,TableRaw[Durée (jours)])),"")</f>
        <v>0</v>
      </c>
      <c r="F142" s="1" t="str" cm="1">
        <f t="array" ref="F142">IFERROR(LARGE(IF(TableRaw[Tâche]=A142,TableRaw[Durée (jours)]),1),"")</f>
        <v/>
      </c>
      <c r="G142" s="4" t="str">
        <f t="shared" si="7"/>
        <v/>
      </c>
      <c r="H142" s="1">
        <f>SUM(TableRaw[Durée (jours)])</f>
        <v>0</v>
      </c>
    </row>
    <row r="143" spans="1:8" x14ac:dyDescent="0.35">
      <c r="A143" cm="1">
        <f t="array" ref="A143">_xlfn.UNIQUE(TableRaw[Tâche])</f>
        <v>0</v>
      </c>
      <c r="B143">
        <f>COUNTIF(TableRaw[Tâche], A143)</f>
        <v>0</v>
      </c>
      <c r="C143" s="1">
        <f>SUMIF(TableRaw[Tâche], A143, TableRaw[Durée (jours)])</f>
        <v>0</v>
      </c>
      <c r="D143" s="1" t="str">
        <f t="shared" si="6"/>
        <v/>
      </c>
      <c r="E143" s="1" cm="1">
        <f t="array" ref="E143">IFERROR(MIN(IF(TableRaw[Tâche]=A143,TableRaw[Durée (jours)])),"")</f>
        <v>0</v>
      </c>
      <c r="F143" s="1" t="str" cm="1">
        <f t="array" ref="F143">IFERROR(LARGE(IF(TableRaw[Tâche]=A143,TableRaw[Durée (jours)]),1),"")</f>
        <v/>
      </c>
      <c r="G143" s="4" t="str">
        <f t="shared" si="7"/>
        <v/>
      </c>
      <c r="H143" s="1">
        <f>SUM(TableRaw[Durée (jours)])</f>
        <v>0</v>
      </c>
    </row>
    <row r="144" spans="1:8" x14ac:dyDescent="0.35">
      <c r="A144" cm="1">
        <f t="array" ref="A144">_xlfn.UNIQUE(TableRaw[Tâche])</f>
        <v>0</v>
      </c>
      <c r="B144">
        <f>COUNTIF(TableRaw[Tâche], A144)</f>
        <v>0</v>
      </c>
      <c r="C144" s="1">
        <f>SUMIF(TableRaw[Tâche], A144, TableRaw[Durée (jours)])</f>
        <v>0</v>
      </c>
      <c r="D144" s="1" t="str">
        <f t="shared" si="6"/>
        <v/>
      </c>
      <c r="E144" s="1" cm="1">
        <f t="array" ref="E144">IFERROR(MIN(IF(TableRaw[Tâche]=A144,TableRaw[Durée (jours)])),"")</f>
        <v>0</v>
      </c>
      <c r="F144" s="1" t="str" cm="1">
        <f t="array" ref="F144">IFERROR(LARGE(IF(TableRaw[Tâche]=A144,TableRaw[Durée (jours)]),1),"")</f>
        <v/>
      </c>
      <c r="G144" s="4" t="str">
        <f t="shared" si="7"/>
        <v/>
      </c>
      <c r="H144" s="1">
        <f>SUM(TableRaw[Durée (jours)])</f>
        <v>0</v>
      </c>
    </row>
    <row r="145" spans="1:8" x14ac:dyDescent="0.35">
      <c r="A145" cm="1">
        <f t="array" ref="A145">_xlfn.UNIQUE(TableRaw[Tâche])</f>
        <v>0</v>
      </c>
      <c r="B145">
        <f>COUNTIF(TableRaw[Tâche], A145)</f>
        <v>0</v>
      </c>
      <c r="C145" s="1">
        <f>SUMIF(TableRaw[Tâche], A145, TableRaw[Durée (jours)])</f>
        <v>0</v>
      </c>
      <c r="D145" s="1" t="str">
        <f t="shared" si="6"/>
        <v/>
      </c>
      <c r="E145" s="1" cm="1">
        <f t="array" ref="E145">IFERROR(MIN(IF(TableRaw[Tâche]=A145,TableRaw[Durée (jours)])),"")</f>
        <v>0</v>
      </c>
      <c r="F145" s="1" t="str" cm="1">
        <f t="array" ref="F145">IFERROR(LARGE(IF(TableRaw[Tâche]=A145,TableRaw[Durée (jours)]),1),"")</f>
        <v/>
      </c>
      <c r="G145" s="4" t="str">
        <f t="shared" si="7"/>
        <v/>
      </c>
      <c r="H145" s="1">
        <f>SUM(TableRaw[Durée (jours)])</f>
        <v>0</v>
      </c>
    </row>
    <row r="146" spans="1:8" x14ac:dyDescent="0.35">
      <c r="A146" cm="1">
        <f t="array" ref="A146">_xlfn.UNIQUE(TableRaw[Tâche])</f>
        <v>0</v>
      </c>
      <c r="B146">
        <f>COUNTIF(TableRaw[Tâche], A146)</f>
        <v>0</v>
      </c>
      <c r="C146" s="1">
        <f>SUMIF(TableRaw[Tâche], A146, TableRaw[Durée (jours)])</f>
        <v>0</v>
      </c>
      <c r="D146" s="1" t="str">
        <f t="shared" si="6"/>
        <v/>
      </c>
      <c r="E146" s="1" cm="1">
        <f t="array" ref="E146">IFERROR(MIN(IF(TableRaw[Tâche]=A146,TableRaw[Durée (jours)])),"")</f>
        <v>0</v>
      </c>
      <c r="F146" s="1" t="str" cm="1">
        <f t="array" ref="F146">IFERROR(LARGE(IF(TableRaw[Tâche]=A146,TableRaw[Durée (jours)]),1),"")</f>
        <v/>
      </c>
      <c r="G146" s="4" t="str">
        <f t="shared" si="7"/>
        <v/>
      </c>
      <c r="H146" s="1">
        <f>SUM(TableRaw[Durée (jours)])</f>
        <v>0</v>
      </c>
    </row>
    <row r="147" spans="1:8" x14ac:dyDescent="0.35">
      <c r="A147" cm="1">
        <f t="array" ref="A147">_xlfn.UNIQUE(TableRaw[Tâche])</f>
        <v>0</v>
      </c>
      <c r="B147">
        <f>COUNTIF(TableRaw[Tâche], A147)</f>
        <v>0</v>
      </c>
      <c r="C147" s="1">
        <f>SUMIF(TableRaw[Tâche], A147, TableRaw[Durée (jours)])</f>
        <v>0</v>
      </c>
      <c r="D147" s="1" t="str">
        <f t="shared" si="6"/>
        <v/>
      </c>
      <c r="E147" s="1" cm="1">
        <f t="array" ref="E147">IFERROR(MIN(IF(TableRaw[Tâche]=A147,TableRaw[Durée (jours)])),"")</f>
        <v>0</v>
      </c>
      <c r="F147" s="1" t="str" cm="1">
        <f t="array" ref="F147">IFERROR(LARGE(IF(TableRaw[Tâche]=A147,TableRaw[Durée (jours)]),1),"")</f>
        <v/>
      </c>
      <c r="G147" s="4" t="str">
        <f t="shared" si="7"/>
        <v/>
      </c>
      <c r="H147" s="1">
        <f>SUM(TableRaw[Durée (jours)])</f>
        <v>0</v>
      </c>
    </row>
    <row r="148" spans="1:8" x14ac:dyDescent="0.35">
      <c r="A148" cm="1">
        <f t="array" ref="A148">_xlfn.UNIQUE(TableRaw[Tâche])</f>
        <v>0</v>
      </c>
      <c r="B148">
        <f>COUNTIF(TableRaw[Tâche], A148)</f>
        <v>0</v>
      </c>
      <c r="C148" s="1">
        <f>SUMIF(TableRaw[Tâche], A148, TableRaw[Durée (jours)])</f>
        <v>0</v>
      </c>
      <c r="D148" s="1" t="str">
        <f t="shared" si="6"/>
        <v/>
      </c>
      <c r="E148" s="1" cm="1">
        <f t="array" ref="E148">IFERROR(MIN(IF(TableRaw[Tâche]=A148,TableRaw[Durée (jours)])),"")</f>
        <v>0</v>
      </c>
      <c r="F148" s="1" t="str" cm="1">
        <f t="array" ref="F148">IFERROR(LARGE(IF(TableRaw[Tâche]=A148,TableRaw[Durée (jours)]),1),"")</f>
        <v/>
      </c>
      <c r="G148" s="4" t="str">
        <f t="shared" si="7"/>
        <v/>
      </c>
      <c r="H148" s="1">
        <f>SUM(TableRaw[Durée (jours)])</f>
        <v>0</v>
      </c>
    </row>
    <row r="149" spans="1:8" x14ac:dyDescent="0.35">
      <c r="A149" cm="1">
        <f t="array" ref="A149">_xlfn.UNIQUE(TableRaw[Tâche])</f>
        <v>0</v>
      </c>
      <c r="B149">
        <f>COUNTIF(TableRaw[Tâche], A149)</f>
        <v>0</v>
      </c>
      <c r="C149" s="1">
        <f>SUMIF(TableRaw[Tâche], A149, TableRaw[Durée (jours)])</f>
        <v>0</v>
      </c>
      <c r="D149" s="1" t="str">
        <f t="shared" si="6"/>
        <v/>
      </c>
      <c r="E149" s="1" cm="1">
        <f t="array" ref="E149">IFERROR(MIN(IF(TableRaw[Tâche]=A149,TableRaw[Durée (jours)])),"")</f>
        <v>0</v>
      </c>
      <c r="F149" s="1" t="str" cm="1">
        <f t="array" ref="F149">IFERROR(LARGE(IF(TableRaw[Tâche]=A149,TableRaw[Durée (jours)]),1),"")</f>
        <v/>
      </c>
      <c r="G149" s="4" t="str">
        <f t="shared" si="7"/>
        <v/>
      </c>
      <c r="H149" s="1">
        <f>SUM(TableRaw[Durée (jours)])</f>
        <v>0</v>
      </c>
    </row>
    <row r="150" spans="1:8" x14ac:dyDescent="0.35">
      <c r="A150" cm="1">
        <f t="array" ref="A150">_xlfn.UNIQUE(TableRaw[Tâche])</f>
        <v>0</v>
      </c>
      <c r="B150">
        <f>COUNTIF(TableRaw[Tâche], A150)</f>
        <v>0</v>
      </c>
      <c r="C150" s="1">
        <f>SUMIF(TableRaw[Tâche], A150, TableRaw[Durée (jours)])</f>
        <v>0</v>
      </c>
      <c r="D150" s="1" t="str">
        <f t="shared" si="6"/>
        <v/>
      </c>
      <c r="E150" s="1" cm="1">
        <f t="array" ref="E150">IFERROR(MIN(IF(TableRaw[Tâche]=A150,TableRaw[Durée (jours)])),"")</f>
        <v>0</v>
      </c>
      <c r="F150" s="1" t="str" cm="1">
        <f t="array" ref="F150">IFERROR(LARGE(IF(TableRaw[Tâche]=A150,TableRaw[Durée (jours)]),1),"")</f>
        <v/>
      </c>
      <c r="G150" s="4" t="str">
        <f t="shared" si="7"/>
        <v/>
      </c>
      <c r="H150" s="1">
        <f>SUM(TableRaw[Durée (jours)])</f>
        <v>0</v>
      </c>
    </row>
    <row r="151" spans="1:8" x14ac:dyDescent="0.35">
      <c r="A151" cm="1">
        <f t="array" ref="A151">_xlfn.UNIQUE(TableRaw[Tâche])</f>
        <v>0</v>
      </c>
      <c r="B151">
        <f>COUNTIF(TableRaw[Tâche], A151)</f>
        <v>0</v>
      </c>
      <c r="C151" s="1">
        <f>SUMIF(TableRaw[Tâche], A151, TableRaw[Durée (jours)])</f>
        <v>0</v>
      </c>
      <c r="D151" s="1" t="str">
        <f t="shared" si="6"/>
        <v/>
      </c>
      <c r="E151" s="1" cm="1">
        <f t="array" ref="E151">IFERROR(MIN(IF(TableRaw[Tâche]=A151,TableRaw[Durée (jours)])),"")</f>
        <v>0</v>
      </c>
      <c r="F151" s="1" t="str" cm="1">
        <f t="array" ref="F151">IFERROR(LARGE(IF(TableRaw[Tâche]=A151,TableRaw[Durée (jours)]),1),"")</f>
        <v/>
      </c>
      <c r="G151" s="4" t="str">
        <f t="shared" si="7"/>
        <v/>
      </c>
      <c r="H151" s="1">
        <f>SUM(TableRaw[Durée (jours)])</f>
        <v>0</v>
      </c>
    </row>
    <row r="152" spans="1:8" x14ac:dyDescent="0.35">
      <c r="A152" cm="1">
        <f t="array" ref="A152">_xlfn.UNIQUE(TableRaw[Tâche])</f>
        <v>0</v>
      </c>
      <c r="B152">
        <f>COUNTIF(TableRaw[Tâche], A152)</f>
        <v>0</v>
      </c>
      <c r="C152" s="1">
        <f>SUMIF(TableRaw[Tâche], A152, TableRaw[Durée (jours)])</f>
        <v>0</v>
      </c>
      <c r="D152" s="1" t="str">
        <f t="shared" si="6"/>
        <v/>
      </c>
      <c r="E152" s="1" cm="1">
        <f t="array" ref="E152">IFERROR(MIN(IF(TableRaw[Tâche]=A152,TableRaw[Durée (jours)])),"")</f>
        <v>0</v>
      </c>
      <c r="F152" s="1" t="str" cm="1">
        <f t="array" ref="F152">IFERROR(LARGE(IF(TableRaw[Tâche]=A152,TableRaw[Durée (jours)]),1),"")</f>
        <v/>
      </c>
      <c r="G152" s="4" t="str">
        <f t="shared" si="7"/>
        <v/>
      </c>
      <c r="H152" s="1">
        <f>SUM(TableRaw[Durée (jours)])</f>
        <v>0</v>
      </c>
    </row>
    <row r="153" spans="1:8" x14ac:dyDescent="0.35">
      <c r="A153" cm="1">
        <f t="array" ref="A153">_xlfn.UNIQUE(TableRaw[Tâche])</f>
        <v>0</v>
      </c>
      <c r="B153">
        <f>COUNTIF(TableRaw[Tâche], A153)</f>
        <v>0</v>
      </c>
      <c r="C153" s="1">
        <f>SUMIF(TableRaw[Tâche], A153, TableRaw[Durée (jours)])</f>
        <v>0</v>
      </c>
      <c r="D153" s="1" t="str">
        <f t="shared" si="6"/>
        <v/>
      </c>
      <c r="E153" s="1" cm="1">
        <f t="array" ref="E153">IFERROR(MIN(IF(TableRaw[Tâche]=A153,TableRaw[Durée (jours)])),"")</f>
        <v>0</v>
      </c>
      <c r="F153" s="1" t="str" cm="1">
        <f t="array" ref="F153">IFERROR(LARGE(IF(TableRaw[Tâche]=A153,TableRaw[Durée (jours)]),1),"")</f>
        <v/>
      </c>
      <c r="G153" s="4" t="str">
        <f t="shared" si="7"/>
        <v/>
      </c>
      <c r="H153" s="1">
        <f>SUM(TableRaw[Durée (jours)])</f>
        <v>0</v>
      </c>
    </row>
    <row r="154" spans="1:8" x14ac:dyDescent="0.35">
      <c r="A154" cm="1">
        <f t="array" ref="A154">_xlfn.UNIQUE(TableRaw[Tâche])</f>
        <v>0</v>
      </c>
      <c r="B154">
        <f>COUNTIF(TableRaw[Tâche], A154)</f>
        <v>0</v>
      </c>
      <c r="C154" s="1">
        <f>SUMIF(TableRaw[Tâche], A154, TableRaw[Durée (jours)])</f>
        <v>0</v>
      </c>
      <c r="D154" s="1" t="str">
        <f t="shared" si="6"/>
        <v/>
      </c>
      <c r="E154" s="1" cm="1">
        <f t="array" ref="E154">IFERROR(MIN(IF(TableRaw[Tâche]=A154,TableRaw[Durée (jours)])),"")</f>
        <v>0</v>
      </c>
      <c r="F154" s="1" t="str" cm="1">
        <f t="array" ref="F154">IFERROR(LARGE(IF(TableRaw[Tâche]=A154,TableRaw[Durée (jours)]),1),"")</f>
        <v/>
      </c>
      <c r="G154" s="4" t="str">
        <f t="shared" si="7"/>
        <v/>
      </c>
      <c r="H154" s="1">
        <f>SUM(TableRaw[Durée (jours)])</f>
        <v>0</v>
      </c>
    </row>
    <row r="155" spans="1:8" x14ac:dyDescent="0.35">
      <c r="A155" cm="1">
        <f t="array" ref="A155">_xlfn.UNIQUE(TableRaw[Tâche])</f>
        <v>0</v>
      </c>
      <c r="B155">
        <f>COUNTIF(TableRaw[Tâche], A155)</f>
        <v>0</v>
      </c>
      <c r="C155" s="1">
        <f>SUMIF(TableRaw[Tâche], A155, TableRaw[Durée (jours)])</f>
        <v>0</v>
      </c>
      <c r="D155" s="1" t="str">
        <f t="shared" si="6"/>
        <v/>
      </c>
      <c r="E155" s="1" cm="1">
        <f t="array" ref="E155">IFERROR(MIN(IF(TableRaw[Tâche]=A155,TableRaw[Durée (jours)])),"")</f>
        <v>0</v>
      </c>
      <c r="F155" s="1" t="str" cm="1">
        <f t="array" ref="F155">IFERROR(LARGE(IF(TableRaw[Tâche]=A155,TableRaw[Durée (jours)]),1),"")</f>
        <v/>
      </c>
      <c r="G155" s="4" t="str">
        <f t="shared" si="7"/>
        <v/>
      </c>
      <c r="H155" s="1">
        <f>SUM(TableRaw[Durée (jours)])</f>
        <v>0</v>
      </c>
    </row>
    <row r="156" spans="1:8" x14ac:dyDescent="0.35">
      <c r="A156" cm="1">
        <f t="array" ref="A156">_xlfn.UNIQUE(TableRaw[Tâche])</f>
        <v>0</v>
      </c>
      <c r="B156">
        <f>COUNTIF(TableRaw[Tâche], A156)</f>
        <v>0</v>
      </c>
      <c r="C156" s="1">
        <f>SUMIF(TableRaw[Tâche], A156, TableRaw[Durée (jours)])</f>
        <v>0</v>
      </c>
      <c r="D156" s="1" t="str">
        <f t="shared" si="6"/>
        <v/>
      </c>
      <c r="E156" s="1" cm="1">
        <f t="array" ref="E156">IFERROR(MIN(IF(TableRaw[Tâche]=A156,TableRaw[Durée (jours)])),"")</f>
        <v>0</v>
      </c>
      <c r="F156" s="1" t="str" cm="1">
        <f t="array" ref="F156">IFERROR(LARGE(IF(TableRaw[Tâche]=A156,TableRaw[Durée (jours)]),1),"")</f>
        <v/>
      </c>
      <c r="G156" s="4" t="str">
        <f t="shared" si="7"/>
        <v/>
      </c>
      <c r="H156" s="1">
        <f>SUM(TableRaw[Durée (jours)])</f>
        <v>0</v>
      </c>
    </row>
    <row r="157" spans="1:8" x14ac:dyDescent="0.35">
      <c r="A157" cm="1">
        <f t="array" ref="A157">_xlfn.UNIQUE(TableRaw[Tâche])</f>
        <v>0</v>
      </c>
      <c r="B157">
        <f>COUNTIF(TableRaw[Tâche], A157)</f>
        <v>0</v>
      </c>
      <c r="C157" s="1">
        <f>SUMIF(TableRaw[Tâche], A157, TableRaw[Durée (jours)])</f>
        <v>0</v>
      </c>
      <c r="D157" s="1" t="str">
        <f t="shared" si="6"/>
        <v/>
      </c>
      <c r="E157" s="1" cm="1">
        <f t="array" ref="E157">IFERROR(MIN(IF(TableRaw[Tâche]=A157,TableRaw[Durée (jours)])),"")</f>
        <v>0</v>
      </c>
      <c r="F157" s="1" t="str" cm="1">
        <f t="array" ref="F157">IFERROR(LARGE(IF(TableRaw[Tâche]=A157,TableRaw[Durée (jours)]),1),"")</f>
        <v/>
      </c>
      <c r="G157" s="4" t="str">
        <f t="shared" si="7"/>
        <v/>
      </c>
      <c r="H157" s="1">
        <f>SUM(TableRaw[Durée (jours)])</f>
        <v>0</v>
      </c>
    </row>
    <row r="158" spans="1:8" x14ac:dyDescent="0.35">
      <c r="A158" cm="1">
        <f t="array" ref="A158">_xlfn.UNIQUE(TableRaw[Tâche])</f>
        <v>0</v>
      </c>
      <c r="B158">
        <f>COUNTIF(TableRaw[Tâche], A158)</f>
        <v>0</v>
      </c>
      <c r="C158" s="1">
        <f>SUMIF(TableRaw[Tâche], A158, TableRaw[Durée (jours)])</f>
        <v>0</v>
      </c>
      <c r="D158" s="1" t="str">
        <f t="shared" si="6"/>
        <v/>
      </c>
      <c r="E158" s="1" cm="1">
        <f t="array" ref="E158">IFERROR(MIN(IF(TableRaw[Tâche]=A158,TableRaw[Durée (jours)])),"")</f>
        <v>0</v>
      </c>
      <c r="F158" s="1" t="str" cm="1">
        <f t="array" ref="F158">IFERROR(LARGE(IF(TableRaw[Tâche]=A158,TableRaw[Durée (jours)]),1),"")</f>
        <v/>
      </c>
      <c r="G158" s="4" t="str">
        <f t="shared" si="7"/>
        <v/>
      </c>
      <c r="H158" s="1">
        <f>SUM(TableRaw[Durée (jours)])</f>
        <v>0</v>
      </c>
    </row>
    <row r="159" spans="1:8" x14ac:dyDescent="0.35">
      <c r="A159" cm="1">
        <f t="array" ref="A159">_xlfn.UNIQUE(TableRaw[Tâche])</f>
        <v>0</v>
      </c>
      <c r="B159">
        <f>COUNTIF(TableRaw[Tâche], A159)</f>
        <v>0</v>
      </c>
      <c r="C159" s="1">
        <f>SUMIF(TableRaw[Tâche], A159, TableRaw[Durée (jours)])</f>
        <v>0</v>
      </c>
      <c r="D159" s="1" t="str">
        <f t="shared" si="6"/>
        <v/>
      </c>
      <c r="E159" s="1" cm="1">
        <f t="array" ref="E159">IFERROR(MIN(IF(TableRaw[Tâche]=A159,TableRaw[Durée (jours)])),"")</f>
        <v>0</v>
      </c>
      <c r="F159" s="1" t="str" cm="1">
        <f t="array" ref="F159">IFERROR(LARGE(IF(TableRaw[Tâche]=A159,TableRaw[Durée (jours)]),1),"")</f>
        <v/>
      </c>
      <c r="G159" s="4" t="str">
        <f t="shared" si="7"/>
        <v/>
      </c>
      <c r="H159" s="1">
        <f>SUM(TableRaw[Durée (jours)])</f>
        <v>0</v>
      </c>
    </row>
    <row r="160" spans="1:8" x14ac:dyDescent="0.35">
      <c r="A160" cm="1">
        <f t="array" ref="A160">_xlfn.UNIQUE(TableRaw[Tâche])</f>
        <v>0</v>
      </c>
      <c r="B160">
        <f>COUNTIF(TableRaw[Tâche], A160)</f>
        <v>0</v>
      </c>
      <c r="C160" s="1">
        <f>SUMIF(TableRaw[Tâche], A160, TableRaw[Durée (jours)])</f>
        <v>0</v>
      </c>
      <c r="D160" s="1" t="str">
        <f t="shared" si="6"/>
        <v/>
      </c>
      <c r="E160" s="1" cm="1">
        <f t="array" ref="E160">IFERROR(MIN(IF(TableRaw[Tâche]=A160,TableRaw[Durée (jours)])),"")</f>
        <v>0</v>
      </c>
      <c r="F160" s="1" t="str" cm="1">
        <f t="array" ref="F160">IFERROR(LARGE(IF(TableRaw[Tâche]=A160,TableRaw[Durée (jours)]),1),"")</f>
        <v/>
      </c>
      <c r="G160" s="4" t="str">
        <f t="shared" si="7"/>
        <v/>
      </c>
      <c r="H160" s="1">
        <f>SUM(TableRaw[Durée (jours)])</f>
        <v>0</v>
      </c>
    </row>
    <row r="161" spans="1:8" x14ac:dyDescent="0.35">
      <c r="A161" cm="1">
        <f t="array" ref="A161">_xlfn.UNIQUE(TableRaw[Tâche])</f>
        <v>0</v>
      </c>
      <c r="B161">
        <f>COUNTIF(TableRaw[Tâche], A161)</f>
        <v>0</v>
      </c>
      <c r="C161" s="1">
        <f>SUMIF(TableRaw[Tâche], A161, TableRaw[Durée (jours)])</f>
        <v>0</v>
      </c>
      <c r="D161" s="1" t="str">
        <f t="shared" si="6"/>
        <v/>
      </c>
      <c r="E161" s="1" cm="1">
        <f t="array" ref="E161">IFERROR(MIN(IF(TableRaw[Tâche]=A161,TableRaw[Durée (jours)])),"")</f>
        <v>0</v>
      </c>
      <c r="F161" s="1" t="str" cm="1">
        <f t="array" ref="F161">IFERROR(LARGE(IF(TableRaw[Tâche]=A161,TableRaw[Durée (jours)]),1),"")</f>
        <v/>
      </c>
      <c r="G161" s="4" t="str">
        <f t="shared" si="7"/>
        <v/>
      </c>
      <c r="H161" s="1">
        <f>SUM(TableRaw[Durée (jours)])</f>
        <v>0</v>
      </c>
    </row>
    <row r="162" spans="1:8" x14ac:dyDescent="0.35">
      <c r="A162" cm="1">
        <f t="array" ref="A162">_xlfn.UNIQUE(TableRaw[Tâche])</f>
        <v>0</v>
      </c>
      <c r="B162">
        <f>COUNTIF(TableRaw[Tâche], A162)</f>
        <v>0</v>
      </c>
      <c r="C162" s="1">
        <f>SUMIF(TableRaw[Tâche], A162, TableRaw[Durée (jours)])</f>
        <v>0</v>
      </c>
      <c r="D162" s="1" t="str">
        <f t="shared" si="6"/>
        <v/>
      </c>
      <c r="E162" s="1" cm="1">
        <f t="array" ref="E162">IFERROR(MIN(IF(TableRaw[Tâche]=A162,TableRaw[Durée (jours)])),"")</f>
        <v>0</v>
      </c>
      <c r="F162" s="1" t="str" cm="1">
        <f t="array" ref="F162">IFERROR(LARGE(IF(TableRaw[Tâche]=A162,TableRaw[Durée (jours)]),1),"")</f>
        <v/>
      </c>
      <c r="G162" s="4" t="str">
        <f t="shared" ref="G162:G193" si="8">IF($H$2=0,"",C162 / $H$2)</f>
        <v/>
      </c>
      <c r="H162" s="1">
        <f>SUM(TableRaw[Durée (jours)])</f>
        <v>0</v>
      </c>
    </row>
    <row r="163" spans="1:8" x14ac:dyDescent="0.35">
      <c r="A163" cm="1">
        <f t="array" ref="A163">_xlfn.UNIQUE(TableRaw[Tâche])</f>
        <v>0</v>
      </c>
      <c r="B163">
        <f>COUNTIF(TableRaw[Tâche], A163)</f>
        <v>0</v>
      </c>
      <c r="C163" s="1">
        <f>SUMIF(TableRaw[Tâche], A163, TableRaw[Durée (jours)])</f>
        <v>0</v>
      </c>
      <c r="D163" s="1" t="str">
        <f t="shared" si="6"/>
        <v/>
      </c>
      <c r="E163" s="1" cm="1">
        <f t="array" ref="E163">IFERROR(MIN(IF(TableRaw[Tâche]=A163,TableRaw[Durée (jours)])),"")</f>
        <v>0</v>
      </c>
      <c r="F163" s="1" t="str" cm="1">
        <f t="array" ref="F163">IFERROR(LARGE(IF(TableRaw[Tâche]=A163,TableRaw[Durée (jours)]),1),"")</f>
        <v/>
      </c>
      <c r="G163" s="4" t="str">
        <f t="shared" si="8"/>
        <v/>
      </c>
      <c r="H163" s="1">
        <f>SUM(TableRaw[Durée (jours)])</f>
        <v>0</v>
      </c>
    </row>
    <row r="164" spans="1:8" x14ac:dyDescent="0.35">
      <c r="A164" cm="1">
        <f t="array" ref="A164">_xlfn.UNIQUE(TableRaw[Tâche])</f>
        <v>0</v>
      </c>
      <c r="B164">
        <f>COUNTIF(TableRaw[Tâche], A164)</f>
        <v>0</v>
      </c>
      <c r="C164" s="1">
        <f>SUMIF(TableRaw[Tâche], A164, TableRaw[Durée (jours)])</f>
        <v>0</v>
      </c>
      <c r="D164" s="1" t="str">
        <f t="shared" si="6"/>
        <v/>
      </c>
      <c r="E164" s="1" cm="1">
        <f t="array" ref="E164">IFERROR(MIN(IF(TableRaw[Tâche]=A164,TableRaw[Durée (jours)])),"")</f>
        <v>0</v>
      </c>
      <c r="F164" s="1" t="str" cm="1">
        <f t="array" ref="F164">IFERROR(LARGE(IF(TableRaw[Tâche]=A164,TableRaw[Durée (jours)]),1),"")</f>
        <v/>
      </c>
      <c r="G164" s="4" t="str">
        <f t="shared" si="8"/>
        <v/>
      </c>
      <c r="H164" s="1">
        <f>SUM(TableRaw[Durée (jours)])</f>
        <v>0</v>
      </c>
    </row>
    <row r="165" spans="1:8" x14ac:dyDescent="0.35">
      <c r="A165" cm="1">
        <f t="array" ref="A165">_xlfn.UNIQUE(TableRaw[Tâche])</f>
        <v>0</v>
      </c>
      <c r="B165">
        <f>COUNTIF(TableRaw[Tâche], A165)</f>
        <v>0</v>
      </c>
      <c r="C165" s="1">
        <f>SUMIF(TableRaw[Tâche], A165, TableRaw[Durée (jours)])</f>
        <v>0</v>
      </c>
      <c r="D165" s="1" t="str">
        <f t="shared" si="6"/>
        <v/>
      </c>
      <c r="E165" s="1" cm="1">
        <f t="array" ref="E165">IFERROR(MIN(IF(TableRaw[Tâche]=A165,TableRaw[Durée (jours)])),"")</f>
        <v>0</v>
      </c>
      <c r="F165" s="1" t="str" cm="1">
        <f t="array" ref="F165">IFERROR(LARGE(IF(TableRaw[Tâche]=A165,TableRaw[Durée (jours)]),1),"")</f>
        <v/>
      </c>
      <c r="G165" s="4" t="str">
        <f t="shared" si="8"/>
        <v/>
      </c>
      <c r="H165" s="1">
        <f>SUM(TableRaw[Durée (jours)])</f>
        <v>0</v>
      </c>
    </row>
    <row r="166" spans="1:8" x14ac:dyDescent="0.35">
      <c r="A166" cm="1">
        <f t="array" ref="A166">_xlfn.UNIQUE(TableRaw[Tâche])</f>
        <v>0</v>
      </c>
      <c r="B166">
        <f>COUNTIF(TableRaw[Tâche], A166)</f>
        <v>0</v>
      </c>
      <c r="C166" s="1">
        <f>SUMIF(TableRaw[Tâche], A166, TableRaw[Durée (jours)])</f>
        <v>0</v>
      </c>
      <c r="D166" s="1" t="str">
        <f t="shared" si="6"/>
        <v/>
      </c>
      <c r="E166" s="1" cm="1">
        <f t="array" ref="E166">IFERROR(MIN(IF(TableRaw[Tâche]=A166,TableRaw[Durée (jours)])),"")</f>
        <v>0</v>
      </c>
      <c r="F166" s="1" t="str" cm="1">
        <f t="array" ref="F166">IFERROR(LARGE(IF(TableRaw[Tâche]=A166,TableRaw[Durée (jours)]),1),"")</f>
        <v/>
      </c>
      <c r="G166" s="4" t="str">
        <f t="shared" si="8"/>
        <v/>
      </c>
      <c r="H166" s="1">
        <f>SUM(TableRaw[Durée (jours)])</f>
        <v>0</v>
      </c>
    </row>
    <row r="167" spans="1:8" x14ac:dyDescent="0.35">
      <c r="A167" cm="1">
        <f t="array" ref="A167">_xlfn.UNIQUE(TableRaw[Tâche])</f>
        <v>0</v>
      </c>
      <c r="B167">
        <f>COUNTIF(TableRaw[Tâche], A167)</f>
        <v>0</v>
      </c>
      <c r="C167" s="1">
        <f>SUMIF(TableRaw[Tâche], A167, TableRaw[Durée (jours)])</f>
        <v>0</v>
      </c>
      <c r="D167" s="1" t="str">
        <f t="shared" si="6"/>
        <v/>
      </c>
      <c r="E167" s="1" cm="1">
        <f t="array" ref="E167">IFERROR(MIN(IF(TableRaw[Tâche]=A167,TableRaw[Durée (jours)])),"")</f>
        <v>0</v>
      </c>
      <c r="F167" s="1" t="str" cm="1">
        <f t="array" ref="F167">IFERROR(LARGE(IF(TableRaw[Tâche]=A167,TableRaw[Durée (jours)]),1),"")</f>
        <v/>
      </c>
      <c r="G167" s="4" t="str">
        <f t="shared" si="8"/>
        <v/>
      </c>
      <c r="H167" s="1">
        <f>SUM(TableRaw[Durée (jours)])</f>
        <v>0</v>
      </c>
    </row>
    <row r="168" spans="1:8" x14ac:dyDescent="0.35">
      <c r="A168" cm="1">
        <f t="array" ref="A168">_xlfn.UNIQUE(TableRaw[Tâche])</f>
        <v>0</v>
      </c>
      <c r="B168">
        <f>COUNTIF(TableRaw[Tâche], A168)</f>
        <v>0</v>
      </c>
      <c r="C168" s="1">
        <f>SUMIF(TableRaw[Tâche], A168, TableRaw[Durée (jours)])</f>
        <v>0</v>
      </c>
      <c r="D168" s="1" t="str">
        <f t="shared" si="6"/>
        <v/>
      </c>
      <c r="E168" s="1" cm="1">
        <f t="array" ref="E168">IFERROR(MIN(IF(TableRaw[Tâche]=A168,TableRaw[Durée (jours)])),"")</f>
        <v>0</v>
      </c>
      <c r="F168" s="1" t="str" cm="1">
        <f t="array" ref="F168">IFERROR(LARGE(IF(TableRaw[Tâche]=A168,TableRaw[Durée (jours)]),1),"")</f>
        <v/>
      </c>
      <c r="G168" s="4" t="str">
        <f t="shared" si="8"/>
        <v/>
      </c>
      <c r="H168" s="1">
        <f>SUM(TableRaw[Durée (jours)])</f>
        <v>0</v>
      </c>
    </row>
    <row r="169" spans="1:8" x14ac:dyDescent="0.35">
      <c r="A169" cm="1">
        <f t="array" ref="A169">_xlfn.UNIQUE(TableRaw[Tâche])</f>
        <v>0</v>
      </c>
      <c r="B169">
        <f>COUNTIF(TableRaw[Tâche], A169)</f>
        <v>0</v>
      </c>
      <c r="C169" s="1">
        <f>SUMIF(TableRaw[Tâche], A169, TableRaw[Durée (jours)])</f>
        <v>0</v>
      </c>
      <c r="D169" s="1" t="str">
        <f t="shared" si="6"/>
        <v/>
      </c>
      <c r="E169" s="1" cm="1">
        <f t="array" ref="E169">IFERROR(MIN(IF(TableRaw[Tâche]=A169,TableRaw[Durée (jours)])),"")</f>
        <v>0</v>
      </c>
      <c r="F169" s="1" t="str" cm="1">
        <f t="array" ref="F169">IFERROR(LARGE(IF(TableRaw[Tâche]=A169,TableRaw[Durée (jours)]),1),"")</f>
        <v/>
      </c>
      <c r="G169" s="4" t="str">
        <f t="shared" si="8"/>
        <v/>
      </c>
      <c r="H169" s="1">
        <f>SUM(TableRaw[Durée (jours)])</f>
        <v>0</v>
      </c>
    </row>
    <row r="170" spans="1:8" x14ac:dyDescent="0.35">
      <c r="A170" cm="1">
        <f t="array" ref="A170">_xlfn.UNIQUE(TableRaw[Tâche])</f>
        <v>0</v>
      </c>
      <c r="B170">
        <f>COUNTIF(TableRaw[Tâche], A170)</f>
        <v>0</v>
      </c>
      <c r="C170" s="1">
        <f>SUMIF(TableRaw[Tâche], A170, TableRaw[Durée (jours)])</f>
        <v>0</v>
      </c>
      <c r="D170" s="1" t="str">
        <f t="shared" si="6"/>
        <v/>
      </c>
      <c r="E170" s="1" cm="1">
        <f t="array" ref="E170">IFERROR(MIN(IF(TableRaw[Tâche]=A170,TableRaw[Durée (jours)])),"")</f>
        <v>0</v>
      </c>
      <c r="F170" s="1" t="str" cm="1">
        <f t="array" ref="F170">IFERROR(LARGE(IF(TableRaw[Tâche]=A170,TableRaw[Durée (jours)]),1),"")</f>
        <v/>
      </c>
      <c r="G170" s="4" t="str">
        <f t="shared" si="8"/>
        <v/>
      </c>
      <c r="H170" s="1">
        <f>SUM(TableRaw[Durée (jours)])</f>
        <v>0</v>
      </c>
    </row>
    <row r="171" spans="1:8" x14ac:dyDescent="0.35">
      <c r="A171" cm="1">
        <f t="array" ref="A171">_xlfn.UNIQUE(TableRaw[Tâche])</f>
        <v>0</v>
      </c>
      <c r="B171">
        <f>COUNTIF(TableRaw[Tâche], A171)</f>
        <v>0</v>
      </c>
      <c r="C171" s="1">
        <f>SUMIF(TableRaw[Tâche], A171, TableRaw[Durée (jours)])</f>
        <v>0</v>
      </c>
      <c r="D171" s="1" t="str">
        <f t="shared" si="6"/>
        <v/>
      </c>
      <c r="E171" s="1" cm="1">
        <f t="array" ref="E171">IFERROR(MIN(IF(TableRaw[Tâche]=A171,TableRaw[Durée (jours)])),"")</f>
        <v>0</v>
      </c>
      <c r="F171" s="1" t="str" cm="1">
        <f t="array" ref="F171">IFERROR(LARGE(IF(TableRaw[Tâche]=A171,TableRaw[Durée (jours)]),1),"")</f>
        <v/>
      </c>
      <c r="G171" s="4" t="str">
        <f t="shared" si="8"/>
        <v/>
      </c>
      <c r="H171" s="1">
        <f>SUM(TableRaw[Durée (jours)])</f>
        <v>0</v>
      </c>
    </row>
    <row r="172" spans="1:8" x14ac:dyDescent="0.35">
      <c r="A172" cm="1">
        <f t="array" ref="A172">_xlfn.UNIQUE(TableRaw[Tâche])</f>
        <v>0</v>
      </c>
      <c r="B172">
        <f>COUNTIF(TableRaw[Tâche], A172)</f>
        <v>0</v>
      </c>
      <c r="C172" s="1">
        <f>SUMIF(TableRaw[Tâche], A172, TableRaw[Durée (jours)])</f>
        <v>0</v>
      </c>
      <c r="D172" s="1" t="str">
        <f t="shared" si="6"/>
        <v/>
      </c>
      <c r="E172" s="1" cm="1">
        <f t="array" ref="E172">IFERROR(MIN(IF(TableRaw[Tâche]=A172,TableRaw[Durée (jours)])),"")</f>
        <v>0</v>
      </c>
      <c r="F172" s="1" t="str" cm="1">
        <f t="array" ref="F172">IFERROR(LARGE(IF(TableRaw[Tâche]=A172,TableRaw[Durée (jours)]),1),"")</f>
        <v/>
      </c>
      <c r="G172" s="4" t="str">
        <f t="shared" si="8"/>
        <v/>
      </c>
      <c r="H172" s="1">
        <f>SUM(TableRaw[Durée (jours)])</f>
        <v>0</v>
      </c>
    </row>
    <row r="173" spans="1:8" x14ac:dyDescent="0.35">
      <c r="A173" cm="1">
        <f t="array" ref="A173">_xlfn.UNIQUE(TableRaw[Tâche])</f>
        <v>0</v>
      </c>
      <c r="B173">
        <f>COUNTIF(TableRaw[Tâche], A173)</f>
        <v>0</v>
      </c>
      <c r="C173" s="1">
        <f>SUMIF(TableRaw[Tâche], A173, TableRaw[Durée (jours)])</f>
        <v>0</v>
      </c>
      <c r="D173" s="1" t="str">
        <f t="shared" si="6"/>
        <v/>
      </c>
      <c r="E173" s="1" cm="1">
        <f t="array" ref="E173">IFERROR(MIN(IF(TableRaw[Tâche]=A173,TableRaw[Durée (jours)])),"")</f>
        <v>0</v>
      </c>
      <c r="F173" s="1" t="str" cm="1">
        <f t="array" ref="F173">IFERROR(LARGE(IF(TableRaw[Tâche]=A173,TableRaw[Durée (jours)]),1),"")</f>
        <v/>
      </c>
      <c r="G173" s="4" t="str">
        <f t="shared" si="8"/>
        <v/>
      </c>
      <c r="H173" s="1">
        <f>SUM(TableRaw[Durée (jours)])</f>
        <v>0</v>
      </c>
    </row>
    <row r="174" spans="1:8" x14ac:dyDescent="0.35">
      <c r="A174" cm="1">
        <f t="array" ref="A174">_xlfn.UNIQUE(TableRaw[Tâche])</f>
        <v>0</v>
      </c>
      <c r="B174">
        <f>COUNTIF(TableRaw[Tâche], A174)</f>
        <v>0</v>
      </c>
      <c r="C174" s="1">
        <f>SUMIF(TableRaw[Tâche], A174, TableRaw[Durée (jours)])</f>
        <v>0</v>
      </c>
      <c r="D174" s="1" t="str">
        <f t="shared" si="6"/>
        <v/>
      </c>
      <c r="E174" s="1" cm="1">
        <f t="array" ref="E174">IFERROR(MIN(IF(TableRaw[Tâche]=A174,TableRaw[Durée (jours)])),"")</f>
        <v>0</v>
      </c>
      <c r="F174" s="1" t="str" cm="1">
        <f t="array" ref="F174">IFERROR(LARGE(IF(TableRaw[Tâche]=A174,TableRaw[Durée (jours)]),1),"")</f>
        <v/>
      </c>
      <c r="G174" s="4" t="str">
        <f t="shared" si="8"/>
        <v/>
      </c>
      <c r="H174" s="1">
        <f>SUM(TableRaw[Durée (jours)])</f>
        <v>0</v>
      </c>
    </row>
    <row r="175" spans="1:8" x14ac:dyDescent="0.35">
      <c r="A175" cm="1">
        <f t="array" ref="A175">_xlfn.UNIQUE(TableRaw[Tâche])</f>
        <v>0</v>
      </c>
      <c r="B175">
        <f>COUNTIF(TableRaw[Tâche], A175)</f>
        <v>0</v>
      </c>
      <c r="C175" s="1">
        <f>SUMIF(TableRaw[Tâche], A175, TableRaw[Durée (jours)])</f>
        <v>0</v>
      </c>
      <c r="D175" s="1" t="str">
        <f t="shared" si="6"/>
        <v/>
      </c>
      <c r="E175" s="1" cm="1">
        <f t="array" ref="E175">IFERROR(MIN(IF(TableRaw[Tâche]=A175,TableRaw[Durée (jours)])),"")</f>
        <v>0</v>
      </c>
      <c r="F175" s="1" t="str" cm="1">
        <f t="array" ref="F175">IFERROR(LARGE(IF(TableRaw[Tâche]=A175,TableRaw[Durée (jours)]),1),"")</f>
        <v/>
      </c>
      <c r="G175" s="4" t="str">
        <f t="shared" si="8"/>
        <v/>
      </c>
      <c r="H175" s="1">
        <f>SUM(TableRaw[Durée (jours)])</f>
        <v>0</v>
      </c>
    </row>
    <row r="176" spans="1:8" x14ac:dyDescent="0.35">
      <c r="A176" cm="1">
        <f t="array" ref="A176">_xlfn.UNIQUE(TableRaw[Tâche])</f>
        <v>0</v>
      </c>
      <c r="B176">
        <f>COUNTIF(TableRaw[Tâche], A176)</f>
        <v>0</v>
      </c>
      <c r="C176" s="1">
        <f>SUMIF(TableRaw[Tâche], A176, TableRaw[Durée (jours)])</f>
        <v>0</v>
      </c>
      <c r="D176" s="1" t="str">
        <f t="shared" si="6"/>
        <v/>
      </c>
      <c r="E176" s="1" cm="1">
        <f t="array" ref="E176">IFERROR(MIN(IF(TableRaw[Tâche]=A176,TableRaw[Durée (jours)])),"")</f>
        <v>0</v>
      </c>
      <c r="F176" s="1" t="str" cm="1">
        <f t="array" ref="F176">IFERROR(LARGE(IF(TableRaw[Tâche]=A176,TableRaw[Durée (jours)]),1),"")</f>
        <v/>
      </c>
      <c r="G176" s="4" t="str">
        <f t="shared" si="8"/>
        <v/>
      </c>
      <c r="H176" s="1">
        <f>SUM(TableRaw[Durée (jours)])</f>
        <v>0</v>
      </c>
    </row>
    <row r="177" spans="1:8" x14ac:dyDescent="0.35">
      <c r="A177" cm="1">
        <f t="array" ref="A177">_xlfn.UNIQUE(TableRaw[Tâche])</f>
        <v>0</v>
      </c>
      <c r="B177">
        <f>COUNTIF(TableRaw[Tâche], A177)</f>
        <v>0</v>
      </c>
      <c r="C177" s="1">
        <f>SUMIF(TableRaw[Tâche], A177, TableRaw[Durée (jours)])</f>
        <v>0</v>
      </c>
      <c r="D177" s="1" t="str">
        <f t="shared" si="6"/>
        <v/>
      </c>
      <c r="E177" s="1" cm="1">
        <f t="array" ref="E177">IFERROR(MIN(IF(TableRaw[Tâche]=A177,TableRaw[Durée (jours)])),"")</f>
        <v>0</v>
      </c>
      <c r="F177" s="1" t="str" cm="1">
        <f t="array" ref="F177">IFERROR(LARGE(IF(TableRaw[Tâche]=A177,TableRaw[Durée (jours)]),1),"")</f>
        <v/>
      </c>
      <c r="G177" s="4" t="str">
        <f t="shared" si="8"/>
        <v/>
      </c>
      <c r="H177" s="1">
        <f>SUM(TableRaw[Durée (jours)])</f>
        <v>0</v>
      </c>
    </row>
    <row r="178" spans="1:8" x14ac:dyDescent="0.35">
      <c r="A178" cm="1">
        <f t="array" ref="A178">_xlfn.UNIQUE(TableRaw[Tâche])</f>
        <v>0</v>
      </c>
      <c r="B178">
        <f>COUNTIF(TableRaw[Tâche], A178)</f>
        <v>0</v>
      </c>
      <c r="C178" s="1">
        <f>SUMIF(TableRaw[Tâche], A178, TableRaw[Durée (jours)])</f>
        <v>0</v>
      </c>
      <c r="D178" s="1" t="str">
        <f t="shared" si="6"/>
        <v/>
      </c>
      <c r="E178" s="1" cm="1">
        <f t="array" ref="E178">IFERROR(MIN(IF(TableRaw[Tâche]=A178,TableRaw[Durée (jours)])),"")</f>
        <v>0</v>
      </c>
      <c r="F178" s="1" t="str" cm="1">
        <f t="array" ref="F178">IFERROR(LARGE(IF(TableRaw[Tâche]=A178,TableRaw[Durée (jours)]),1),"")</f>
        <v/>
      </c>
      <c r="G178" s="4" t="str">
        <f t="shared" si="8"/>
        <v/>
      </c>
      <c r="H178" s="1">
        <f>SUM(TableRaw[Durée (jours)])</f>
        <v>0</v>
      </c>
    </row>
    <row r="179" spans="1:8" x14ac:dyDescent="0.35">
      <c r="A179" cm="1">
        <f t="array" ref="A179">_xlfn.UNIQUE(TableRaw[Tâche])</f>
        <v>0</v>
      </c>
      <c r="B179">
        <f>COUNTIF(TableRaw[Tâche], A179)</f>
        <v>0</v>
      </c>
      <c r="C179" s="1">
        <f>SUMIF(TableRaw[Tâche], A179, TableRaw[Durée (jours)])</f>
        <v>0</v>
      </c>
      <c r="D179" s="1" t="str">
        <f t="shared" si="6"/>
        <v/>
      </c>
      <c r="E179" s="1" cm="1">
        <f t="array" ref="E179">IFERROR(MIN(IF(TableRaw[Tâche]=A179,TableRaw[Durée (jours)])),"")</f>
        <v>0</v>
      </c>
      <c r="F179" s="1" t="str" cm="1">
        <f t="array" ref="F179">IFERROR(LARGE(IF(TableRaw[Tâche]=A179,TableRaw[Durée (jours)]),1),"")</f>
        <v/>
      </c>
      <c r="G179" s="4" t="str">
        <f t="shared" si="8"/>
        <v/>
      </c>
      <c r="H179" s="1">
        <f>SUM(TableRaw[Durée (jours)])</f>
        <v>0</v>
      </c>
    </row>
    <row r="180" spans="1:8" x14ac:dyDescent="0.35">
      <c r="A180" cm="1">
        <f t="array" ref="A180">_xlfn.UNIQUE(TableRaw[Tâche])</f>
        <v>0</v>
      </c>
      <c r="B180">
        <f>COUNTIF(TableRaw[Tâche], A180)</f>
        <v>0</v>
      </c>
      <c r="C180" s="1">
        <f>SUMIF(TableRaw[Tâche], A180, TableRaw[Durée (jours)])</f>
        <v>0</v>
      </c>
      <c r="D180" s="1" t="str">
        <f t="shared" si="6"/>
        <v/>
      </c>
      <c r="E180" s="1" cm="1">
        <f t="array" ref="E180">IFERROR(MIN(IF(TableRaw[Tâche]=A180,TableRaw[Durée (jours)])),"")</f>
        <v>0</v>
      </c>
      <c r="F180" s="1" t="str" cm="1">
        <f t="array" ref="F180">IFERROR(LARGE(IF(TableRaw[Tâche]=A180,TableRaw[Durée (jours)]),1),"")</f>
        <v/>
      </c>
      <c r="G180" s="4" t="str">
        <f t="shared" si="8"/>
        <v/>
      </c>
      <c r="H180" s="1">
        <f>SUM(TableRaw[Durée (jours)])</f>
        <v>0</v>
      </c>
    </row>
    <row r="181" spans="1:8" x14ac:dyDescent="0.35">
      <c r="A181" cm="1">
        <f t="array" ref="A181">_xlfn.UNIQUE(TableRaw[Tâche])</f>
        <v>0</v>
      </c>
      <c r="B181">
        <f>COUNTIF(TableRaw[Tâche], A181)</f>
        <v>0</v>
      </c>
      <c r="C181" s="1">
        <f>SUMIF(TableRaw[Tâche], A181, TableRaw[Durée (jours)])</f>
        <v>0</v>
      </c>
      <c r="D181" s="1" t="str">
        <f t="shared" si="6"/>
        <v/>
      </c>
      <c r="E181" s="1" cm="1">
        <f t="array" ref="E181">IFERROR(MIN(IF(TableRaw[Tâche]=A181,TableRaw[Durée (jours)])),"")</f>
        <v>0</v>
      </c>
      <c r="F181" s="1" t="str" cm="1">
        <f t="array" ref="F181">IFERROR(LARGE(IF(TableRaw[Tâche]=A181,TableRaw[Durée (jours)]),1),"")</f>
        <v/>
      </c>
      <c r="G181" s="4" t="str">
        <f t="shared" si="8"/>
        <v/>
      </c>
      <c r="H181" s="1">
        <f>SUM(TableRaw[Durée (jours)])</f>
        <v>0</v>
      </c>
    </row>
    <row r="182" spans="1:8" x14ac:dyDescent="0.35">
      <c r="A182" cm="1">
        <f t="array" ref="A182">_xlfn.UNIQUE(TableRaw[Tâche])</f>
        <v>0</v>
      </c>
      <c r="B182">
        <f>COUNTIF(TableRaw[Tâche], A182)</f>
        <v>0</v>
      </c>
      <c r="C182" s="1">
        <f>SUMIF(TableRaw[Tâche], A182, TableRaw[Durée (jours)])</f>
        <v>0</v>
      </c>
      <c r="D182" s="1" t="str">
        <f t="shared" si="6"/>
        <v/>
      </c>
      <c r="E182" s="1" cm="1">
        <f t="array" ref="E182">IFERROR(MIN(IF(TableRaw[Tâche]=A182,TableRaw[Durée (jours)])),"")</f>
        <v>0</v>
      </c>
      <c r="F182" s="1" t="str" cm="1">
        <f t="array" ref="F182">IFERROR(LARGE(IF(TableRaw[Tâche]=A182,TableRaw[Durée (jours)]),1),"")</f>
        <v/>
      </c>
      <c r="G182" s="4" t="str">
        <f t="shared" si="8"/>
        <v/>
      </c>
      <c r="H182" s="1">
        <f>SUM(TableRaw[Durée (jours)])</f>
        <v>0</v>
      </c>
    </row>
    <row r="183" spans="1:8" x14ac:dyDescent="0.35">
      <c r="A183" cm="1">
        <f t="array" ref="A183">_xlfn.UNIQUE(TableRaw[Tâche])</f>
        <v>0</v>
      </c>
      <c r="B183">
        <f>COUNTIF(TableRaw[Tâche], A183)</f>
        <v>0</v>
      </c>
      <c r="C183" s="1">
        <f>SUMIF(TableRaw[Tâche], A183, TableRaw[Durée (jours)])</f>
        <v>0</v>
      </c>
      <c r="D183" s="1" t="str">
        <f t="shared" si="6"/>
        <v/>
      </c>
      <c r="E183" s="1" cm="1">
        <f t="array" ref="E183">IFERROR(MIN(IF(TableRaw[Tâche]=A183,TableRaw[Durée (jours)])),"")</f>
        <v>0</v>
      </c>
      <c r="F183" s="1" t="str" cm="1">
        <f t="array" ref="F183">IFERROR(LARGE(IF(TableRaw[Tâche]=A183,TableRaw[Durée (jours)]),1),"")</f>
        <v/>
      </c>
      <c r="G183" s="4" t="str">
        <f t="shared" si="8"/>
        <v/>
      </c>
      <c r="H183" s="1">
        <f>SUM(TableRaw[Durée (jours)])</f>
        <v>0</v>
      </c>
    </row>
    <row r="184" spans="1:8" x14ac:dyDescent="0.35">
      <c r="A184" cm="1">
        <f t="array" ref="A184">_xlfn.UNIQUE(TableRaw[Tâche])</f>
        <v>0</v>
      </c>
      <c r="B184">
        <f>COUNTIF(TableRaw[Tâche], A184)</f>
        <v>0</v>
      </c>
      <c r="C184" s="1">
        <f>SUMIF(TableRaw[Tâche], A184, TableRaw[Durée (jours)])</f>
        <v>0</v>
      </c>
      <c r="D184" s="1" t="str">
        <f t="shared" si="6"/>
        <v/>
      </c>
      <c r="E184" s="1" cm="1">
        <f t="array" ref="E184">IFERROR(MIN(IF(TableRaw[Tâche]=A184,TableRaw[Durée (jours)])),"")</f>
        <v>0</v>
      </c>
      <c r="F184" s="1" t="str" cm="1">
        <f t="array" ref="F184">IFERROR(LARGE(IF(TableRaw[Tâche]=A184,TableRaw[Durée (jours)]),1),"")</f>
        <v/>
      </c>
      <c r="G184" s="4" t="str">
        <f t="shared" si="8"/>
        <v/>
      </c>
      <c r="H184" s="1">
        <f>SUM(TableRaw[Durée (jours)])</f>
        <v>0</v>
      </c>
    </row>
    <row r="185" spans="1:8" x14ac:dyDescent="0.35">
      <c r="A185" cm="1">
        <f t="array" ref="A185">_xlfn.UNIQUE(TableRaw[Tâche])</f>
        <v>0</v>
      </c>
      <c r="B185">
        <f>COUNTIF(TableRaw[Tâche], A185)</f>
        <v>0</v>
      </c>
      <c r="C185" s="1">
        <f>SUMIF(TableRaw[Tâche], A185, TableRaw[Durée (jours)])</f>
        <v>0</v>
      </c>
      <c r="D185" s="1" t="str">
        <f t="shared" si="6"/>
        <v/>
      </c>
      <c r="E185" s="1" cm="1">
        <f t="array" ref="E185">IFERROR(MIN(IF(TableRaw[Tâche]=A185,TableRaw[Durée (jours)])),"")</f>
        <v>0</v>
      </c>
      <c r="F185" s="1" t="str" cm="1">
        <f t="array" ref="F185">IFERROR(LARGE(IF(TableRaw[Tâche]=A185,TableRaw[Durée (jours)]),1),"")</f>
        <v/>
      </c>
      <c r="G185" s="4" t="str">
        <f t="shared" si="8"/>
        <v/>
      </c>
      <c r="H185" s="1">
        <f>SUM(TableRaw[Durée (jours)])</f>
        <v>0</v>
      </c>
    </row>
    <row r="186" spans="1:8" x14ac:dyDescent="0.35">
      <c r="A186" cm="1">
        <f t="array" ref="A186">_xlfn.UNIQUE(TableRaw[Tâche])</f>
        <v>0</v>
      </c>
      <c r="B186">
        <f>COUNTIF(TableRaw[Tâche], A186)</f>
        <v>0</v>
      </c>
      <c r="C186" s="1">
        <f>SUMIF(TableRaw[Tâche], A186, TableRaw[Durée (jours)])</f>
        <v>0</v>
      </c>
      <c r="D186" s="1" t="str">
        <f t="shared" si="6"/>
        <v/>
      </c>
      <c r="E186" s="1" cm="1">
        <f t="array" ref="E186">IFERROR(MIN(IF(TableRaw[Tâche]=A186,TableRaw[Durée (jours)])),"")</f>
        <v>0</v>
      </c>
      <c r="F186" s="1" t="str" cm="1">
        <f t="array" ref="F186">IFERROR(LARGE(IF(TableRaw[Tâche]=A186,TableRaw[Durée (jours)]),1),"")</f>
        <v/>
      </c>
      <c r="G186" s="4" t="str">
        <f t="shared" si="8"/>
        <v/>
      </c>
      <c r="H186" s="1">
        <f>SUM(TableRaw[Durée (jours)])</f>
        <v>0</v>
      </c>
    </row>
    <row r="187" spans="1:8" x14ac:dyDescent="0.35">
      <c r="A187" cm="1">
        <f t="array" ref="A187">_xlfn.UNIQUE(TableRaw[Tâche])</f>
        <v>0</v>
      </c>
      <c r="B187">
        <f>COUNTIF(TableRaw[Tâche], A187)</f>
        <v>0</v>
      </c>
      <c r="C187" s="1">
        <f>SUMIF(TableRaw[Tâche], A187, TableRaw[Durée (jours)])</f>
        <v>0</v>
      </c>
      <c r="D187" s="1" t="str">
        <f t="shared" si="6"/>
        <v/>
      </c>
      <c r="E187" s="1" cm="1">
        <f t="array" ref="E187">IFERROR(MIN(IF(TableRaw[Tâche]=A187,TableRaw[Durée (jours)])),"")</f>
        <v>0</v>
      </c>
      <c r="F187" s="1" t="str" cm="1">
        <f t="array" ref="F187">IFERROR(LARGE(IF(TableRaw[Tâche]=A187,TableRaw[Durée (jours)]),1),"")</f>
        <v/>
      </c>
      <c r="G187" s="4" t="str">
        <f t="shared" si="8"/>
        <v/>
      </c>
      <c r="H187" s="1">
        <f>SUM(TableRaw[Durée (jours)])</f>
        <v>0</v>
      </c>
    </row>
    <row r="188" spans="1:8" x14ac:dyDescent="0.35">
      <c r="A188" cm="1">
        <f t="array" ref="A188">_xlfn.UNIQUE(TableRaw[Tâche])</f>
        <v>0</v>
      </c>
      <c r="B188">
        <f>COUNTIF(TableRaw[Tâche], A188)</f>
        <v>0</v>
      </c>
      <c r="C188" s="1">
        <f>SUMIF(TableRaw[Tâche], A188, TableRaw[Durée (jours)])</f>
        <v>0</v>
      </c>
      <c r="D188" s="1" t="str">
        <f t="shared" si="6"/>
        <v/>
      </c>
      <c r="E188" s="1" cm="1">
        <f t="array" ref="E188">IFERROR(MIN(IF(TableRaw[Tâche]=A188,TableRaw[Durée (jours)])),"")</f>
        <v>0</v>
      </c>
      <c r="F188" s="1" t="str" cm="1">
        <f t="array" ref="F188">IFERROR(LARGE(IF(TableRaw[Tâche]=A188,TableRaw[Durée (jours)]),1),"")</f>
        <v/>
      </c>
      <c r="G188" s="4" t="str">
        <f t="shared" si="8"/>
        <v/>
      </c>
      <c r="H188" s="1">
        <f>SUM(TableRaw[Durée (jours)])</f>
        <v>0</v>
      </c>
    </row>
    <row r="189" spans="1:8" x14ac:dyDescent="0.35">
      <c r="A189" cm="1">
        <f t="array" ref="A189">_xlfn.UNIQUE(TableRaw[Tâche])</f>
        <v>0</v>
      </c>
      <c r="B189">
        <f>COUNTIF(TableRaw[Tâche], A189)</f>
        <v>0</v>
      </c>
      <c r="C189" s="1">
        <f>SUMIF(TableRaw[Tâche], A189, TableRaw[Durée (jours)])</f>
        <v>0</v>
      </c>
      <c r="D189" s="1" t="str">
        <f t="shared" si="6"/>
        <v/>
      </c>
      <c r="E189" s="1" cm="1">
        <f t="array" ref="E189">IFERROR(MIN(IF(TableRaw[Tâche]=A189,TableRaw[Durée (jours)])),"")</f>
        <v>0</v>
      </c>
      <c r="F189" s="1" t="str" cm="1">
        <f t="array" ref="F189">IFERROR(LARGE(IF(TableRaw[Tâche]=A189,TableRaw[Durée (jours)]),1),"")</f>
        <v/>
      </c>
      <c r="G189" s="4" t="str">
        <f t="shared" si="8"/>
        <v/>
      </c>
      <c r="H189" s="1">
        <f>SUM(TableRaw[Durée (jours)])</f>
        <v>0</v>
      </c>
    </row>
    <row r="190" spans="1:8" x14ac:dyDescent="0.35">
      <c r="A190" cm="1">
        <f t="array" ref="A190">_xlfn.UNIQUE(TableRaw[Tâche])</f>
        <v>0</v>
      </c>
      <c r="B190">
        <f>COUNTIF(TableRaw[Tâche], A190)</f>
        <v>0</v>
      </c>
      <c r="C190" s="1">
        <f>SUMIF(TableRaw[Tâche], A190, TableRaw[Durée (jours)])</f>
        <v>0</v>
      </c>
      <c r="D190" s="1" t="str">
        <f t="shared" si="6"/>
        <v/>
      </c>
      <c r="E190" s="1" cm="1">
        <f t="array" ref="E190">IFERROR(MIN(IF(TableRaw[Tâche]=A190,TableRaw[Durée (jours)])),"")</f>
        <v>0</v>
      </c>
      <c r="F190" s="1" t="str" cm="1">
        <f t="array" ref="F190">IFERROR(LARGE(IF(TableRaw[Tâche]=A190,TableRaw[Durée (jours)]),1),"")</f>
        <v/>
      </c>
      <c r="G190" s="4" t="str">
        <f t="shared" si="8"/>
        <v/>
      </c>
      <c r="H190" s="1">
        <f>SUM(TableRaw[Durée (jours)])</f>
        <v>0</v>
      </c>
    </row>
    <row r="191" spans="1:8" x14ac:dyDescent="0.35">
      <c r="A191" cm="1">
        <f t="array" ref="A191">_xlfn.UNIQUE(TableRaw[Tâche])</f>
        <v>0</v>
      </c>
      <c r="B191">
        <f>COUNTIF(TableRaw[Tâche], A191)</f>
        <v>0</v>
      </c>
      <c r="C191" s="1">
        <f>SUMIF(TableRaw[Tâche], A191, TableRaw[Durée (jours)])</f>
        <v>0</v>
      </c>
      <c r="D191" s="1" t="str">
        <f t="shared" si="6"/>
        <v/>
      </c>
      <c r="E191" s="1" cm="1">
        <f t="array" ref="E191">IFERROR(MIN(IF(TableRaw[Tâche]=A191,TableRaw[Durée (jours)])),"")</f>
        <v>0</v>
      </c>
      <c r="F191" s="1" t="str" cm="1">
        <f t="array" ref="F191">IFERROR(LARGE(IF(TableRaw[Tâche]=A191,TableRaw[Durée (jours)]),1),"")</f>
        <v/>
      </c>
      <c r="G191" s="4" t="str">
        <f t="shared" si="8"/>
        <v/>
      </c>
      <c r="H191" s="1">
        <f>SUM(TableRaw[Durée (jours)])</f>
        <v>0</v>
      </c>
    </row>
    <row r="192" spans="1:8" x14ac:dyDescent="0.35">
      <c r="A192" cm="1">
        <f t="array" ref="A192">_xlfn.UNIQUE(TableRaw[Tâche])</f>
        <v>0</v>
      </c>
      <c r="B192">
        <f>COUNTIF(TableRaw[Tâche], A192)</f>
        <v>0</v>
      </c>
      <c r="C192" s="1">
        <f>SUMIF(TableRaw[Tâche], A192, TableRaw[Durée (jours)])</f>
        <v>0</v>
      </c>
      <c r="D192" s="1" t="str">
        <f t="shared" si="6"/>
        <v/>
      </c>
      <c r="E192" s="1" cm="1">
        <f t="array" ref="E192">IFERROR(MIN(IF(TableRaw[Tâche]=A192,TableRaw[Durée (jours)])),"")</f>
        <v>0</v>
      </c>
      <c r="F192" s="1" t="str" cm="1">
        <f t="array" ref="F192">IFERROR(LARGE(IF(TableRaw[Tâche]=A192,TableRaw[Durée (jours)]),1),"")</f>
        <v/>
      </c>
      <c r="G192" s="4" t="str">
        <f t="shared" si="8"/>
        <v/>
      </c>
      <c r="H192" s="1">
        <f>SUM(TableRaw[Durée (jours)])</f>
        <v>0</v>
      </c>
    </row>
    <row r="193" spans="1:8" x14ac:dyDescent="0.35">
      <c r="A193" cm="1">
        <f t="array" ref="A193">_xlfn.UNIQUE(TableRaw[Tâche])</f>
        <v>0</v>
      </c>
      <c r="B193">
        <f>COUNTIF(TableRaw[Tâche], A193)</f>
        <v>0</v>
      </c>
      <c r="C193" s="1">
        <f>SUMIF(TableRaw[Tâche], A193, TableRaw[Durée (jours)])</f>
        <v>0</v>
      </c>
      <c r="D193" s="1" t="str">
        <f t="shared" si="6"/>
        <v/>
      </c>
      <c r="E193" s="1" cm="1">
        <f t="array" ref="E193">IFERROR(MIN(IF(TableRaw[Tâche]=A193,TableRaw[Durée (jours)])),"")</f>
        <v>0</v>
      </c>
      <c r="F193" s="1" t="str" cm="1">
        <f t="array" ref="F193">IFERROR(LARGE(IF(TableRaw[Tâche]=A193,TableRaw[Durée (jours)]),1),"")</f>
        <v/>
      </c>
      <c r="G193" s="4" t="str">
        <f t="shared" si="8"/>
        <v/>
      </c>
      <c r="H193" s="1">
        <f>SUM(TableRaw[Durée (jours)])</f>
        <v>0</v>
      </c>
    </row>
    <row r="194" spans="1:8" x14ac:dyDescent="0.35">
      <c r="A194" cm="1">
        <f t="array" ref="A194">_xlfn.UNIQUE(TableRaw[Tâche])</f>
        <v>0</v>
      </c>
      <c r="B194">
        <f>COUNTIF(TableRaw[Tâche], A194)</f>
        <v>0</v>
      </c>
      <c r="C194" s="1">
        <f>SUMIF(TableRaw[Tâche], A194, TableRaw[Durée (jours)])</f>
        <v>0</v>
      </c>
      <c r="D194" s="1" t="str">
        <f t="shared" ref="D194:D200" si="9">IF(B194=0,"",C194/B194)</f>
        <v/>
      </c>
      <c r="E194" s="1" cm="1">
        <f t="array" ref="E194">IFERROR(MIN(IF(TableRaw[Tâche]=A194,TableRaw[Durée (jours)])),"")</f>
        <v>0</v>
      </c>
      <c r="F194" s="1" t="str" cm="1">
        <f t="array" ref="F194">IFERROR(LARGE(IF(TableRaw[Tâche]=A194,TableRaw[Durée (jours)]),1),"")</f>
        <v/>
      </c>
      <c r="G194" s="4" t="str">
        <f t="shared" ref="G194:G200" si="10">IF($H$2=0,"",C194 / $H$2)</f>
        <v/>
      </c>
      <c r="H194" s="1">
        <f>SUM(TableRaw[Durée (jours)])</f>
        <v>0</v>
      </c>
    </row>
    <row r="195" spans="1:8" x14ac:dyDescent="0.35">
      <c r="A195" cm="1">
        <f t="array" ref="A195">_xlfn.UNIQUE(TableRaw[Tâche])</f>
        <v>0</v>
      </c>
      <c r="B195">
        <f>COUNTIF(TableRaw[Tâche], A195)</f>
        <v>0</v>
      </c>
      <c r="C195" s="1">
        <f>SUMIF(TableRaw[Tâche], A195, TableRaw[Durée (jours)])</f>
        <v>0</v>
      </c>
      <c r="D195" s="1" t="str">
        <f t="shared" si="9"/>
        <v/>
      </c>
      <c r="E195" s="1" cm="1">
        <f t="array" ref="E195">IFERROR(MIN(IF(TableRaw[Tâche]=A195,TableRaw[Durée (jours)])),"")</f>
        <v>0</v>
      </c>
      <c r="F195" s="1" t="str" cm="1">
        <f t="array" ref="F195">IFERROR(LARGE(IF(TableRaw[Tâche]=A195,TableRaw[Durée (jours)]),1),"")</f>
        <v/>
      </c>
      <c r="G195" s="4" t="str">
        <f t="shared" si="10"/>
        <v/>
      </c>
      <c r="H195" s="1">
        <f>SUM(TableRaw[Durée (jours)])</f>
        <v>0</v>
      </c>
    </row>
    <row r="196" spans="1:8" x14ac:dyDescent="0.35">
      <c r="A196" cm="1">
        <f t="array" ref="A196">_xlfn.UNIQUE(TableRaw[Tâche])</f>
        <v>0</v>
      </c>
      <c r="B196">
        <f>COUNTIF(TableRaw[Tâche], A196)</f>
        <v>0</v>
      </c>
      <c r="C196" s="1">
        <f>SUMIF(TableRaw[Tâche], A196, TableRaw[Durée (jours)])</f>
        <v>0</v>
      </c>
      <c r="D196" s="1" t="str">
        <f t="shared" si="9"/>
        <v/>
      </c>
      <c r="E196" s="1" cm="1">
        <f t="array" ref="E196">IFERROR(MIN(IF(TableRaw[Tâche]=A196,TableRaw[Durée (jours)])),"")</f>
        <v>0</v>
      </c>
      <c r="F196" s="1" t="str" cm="1">
        <f t="array" ref="F196">IFERROR(LARGE(IF(TableRaw[Tâche]=A196,TableRaw[Durée (jours)]),1),"")</f>
        <v/>
      </c>
      <c r="G196" s="4" t="str">
        <f t="shared" si="10"/>
        <v/>
      </c>
      <c r="H196" s="1">
        <f>SUM(TableRaw[Durée (jours)])</f>
        <v>0</v>
      </c>
    </row>
    <row r="197" spans="1:8" x14ac:dyDescent="0.35">
      <c r="A197" cm="1">
        <f t="array" ref="A197">_xlfn.UNIQUE(TableRaw[Tâche])</f>
        <v>0</v>
      </c>
      <c r="B197">
        <f>COUNTIF(TableRaw[Tâche], A197)</f>
        <v>0</v>
      </c>
      <c r="C197" s="1">
        <f>SUMIF(TableRaw[Tâche], A197, TableRaw[Durée (jours)])</f>
        <v>0</v>
      </c>
      <c r="D197" s="1" t="str">
        <f t="shared" si="9"/>
        <v/>
      </c>
      <c r="E197" s="1" cm="1">
        <f t="array" ref="E197">IFERROR(MIN(IF(TableRaw[Tâche]=A197,TableRaw[Durée (jours)])),"")</f>
        <v>0</v>
      </c>
      <c r="F197" s="1" t="str" cm="1">
        <f t="array" ref="F197">IFERROR(LARGE(IF(TableRaw[Tâche]=A197,TableRaw[Durée (jours)]),1),"")</f>
        <v/>
      </c>
      <c r="G197" s="4" t="str">
        <f t="shared" si="10"/>
        <v/>
      </c>
      <c r="H197" s="1">
        <f>SUM(TableRaw[Durée (jours)])</f>
        <v>0</v>
      </c>
    </row>
    <row r="198" spans="1:8" x14ac:dyDescent="0.35">
      <c r="A198" cm="1">
        <f t="array" ref="A198">_xlfn.UNIQUE(TableRaw[Tâche])</f>
        <v>0</v>
      </c>
      <c r="B198">
        <f>COUNTIF(TableRaw[Tâche], A198)</f>
        <v>0</v>
      </c>
      <c r="C198" s="1">
        <f>SUMIF(TableRaw[Tâche], A198, TableRaw[Durée (jours)])</f>
        <v>0</v>
      </c>
      <c r="D198" s="1" t="str">
        <f t="shared" si="9"/>
        <v/>
      </c>
      <c r="E198" s="1" cm="1">
        <f t="array" ref="E198">IFERROR(MIN(IF(TableRaw[Tâche]=A198,TableRaw[Durée (jours)])),"")</f>
        <v>0</v>
      </c>
      <c r="F198" s="1" t="str" cm="1">
        <f t="array" ref="F198">IFERROR(LARGE(IF(TableRaw[Tâche]=A198,TableRaw[Durée (jours)]),1),"")</f>
        <v/>
      </c>
      <c r="G198" s="4" t="str">
        <f t="shared" si="10"/>
        <v/>
      </c>
      <c r="H198" s="1">
        <f>SUM(TableRaw[Durée (jours)])</f>
        <v>0</v>
      </c>
    </row>
    <row r="199" spans="1:8" x14ac:dyDescent="0.35">
      <c r="A199" cm="1">
        <f t="array" ref="A199">_xlfn.UNIQUE(TableRaw[Tâche])</f>
        <v>0</v>
      </c>
      <c r="B199">
        <f>COUNTIF(TableRaw[Tâche], A199)</f>
        <v>0</v>
      </c>
      <c r="C199" s="1">
        <f>SUMIF(TableRaw[Tâche], A199, TableRaw[Durée (jours)])</f>
        <v>0</v>
      </c>
      <c r="D199" s="1" t="str">
        <f t="shared" si="9"/>
        <v/>
      </c>
      <c r="E199" s="1" cm="1">
        <f t="array" ref="E199">IFERROR(MIN(IF(TableRaw[Tâche]=A199,TableRaw[Durée (jours)])),"")</f>
        <v>0</v>
      </c>
      <c r="F199" s="1" t="str" cm="1">
        <f t="array" ref="F199">IFERROR(LARGE(IF(TableRaw[Tâche]=A199,TableRaw[Durée (jours)]),1),"")</f>
        <v/>
      </c>
      <c r="G199" s="4" t="str">
        <f t="shared" si="10"/>
        <v/>
      </c>
      <c r="H199" s="1">
        <f>SUM(TableRaw[Durée (jours)])</f>
        <v>0</v>
      </c>
    </row>
    <row r="200" spans="1:8" x14ac:dyDescent="0.35">
      <c r="A200" cm="1">
        <f t="array" ref="A200">_xlfn.UNIQUE(TableRaw[Tâche])</f>
        <v>0</v>
      </c>
      <c r="B200">
        <f>COUNTIF(TableRaw[Tâche], A200)</f>
        <v>0</v>
      </c>
      <c r="C200" s="1">
        <f>SUMIF(TableRaw[Tâche], A200, TableRaw[Durée (jours)])</f>
        <v>0</v>
      </c>
      <c r="D200" s="1" t="str">
        <f t="shared" si="9"/>
        <v/>
      </c>
      <c r="E200" s="1" cm="1">
        <f t="array" ref="E200">IFERROR(MIN(IF(TableRaw[Tâche]=A200,TableRaw[Durée (jours)])),"")</f>
        <v>0</v>
      </c>
      <c r="F200" s="1" t="str" cm="1">
        <f t="array" ref="F200">IFERROR(LARGE(IF(TableRaw[Tâche]=A200,TableRaw[Durée (jours)]),1),"")</f>
        <v/>
      </c>
      <c r="G200" s="4" t="str">
        <f t="shared" si="10"/>
        <v/>
      </c>
      <c r="H200" s="1">
        <f>SUM(TableRaw[Durée (jours)])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590C-B3E7-430F-8254-3879F1AB3799}">
  <dimension ref="A1:B5"/>
  <sheetViews>
    <sheetView workbookViewId="0">
      <selection activeCell="E5" sqref="E5"/>
    </sheetView>
  </sheetViews>
  <sheetFormatPr baseColWidth="10" defaultRowHeight="14.5" x14ac:dyDescent="0.35"/>
  <cols>
    <col min="1" max="1" width="19.54296875" bestFit="1" customWidth="1"/>
    <col min="2" max="2" width="21.36328125" bestFit="1" customWidth="1"/>
  </cols>
  <sheetData>
    <row r="1" spans="1:2" x14ac:dyDescent="0.35">
      <c r="A1" t="s">
        <v>21</v>
      </c>
    </row>
    <row r="3" spans="1:2" x14ac:dyDescent="0.35">
      <c r="A3" s="2" t="s">
        <v>17</v>
      </c>
      <c r="B3" t="s">
        <v>20</v>
      </c>
    </row>
    <row r="4" spans="1:2" x14ac:dyDescent="0.35">
      <c r="A4" s="3" t="s">
        <v>18</v>
      </c>
      <c r="B4" s="1">
        <v>0</v>
      </c>
    </row>
    <row r="5" spans="1:2" x14ac:dyDescent="0.35">
      <c r="A5" s="3" t="s">
        <v>19</v>
      </c>
      <c r="B5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E5F63-25DA-4D70-9CAC-74E4ACEC8EE8}">
  <dimension ref="A1"/>
  <sheetViews>
    <sheetView workbookViewId="0">
      <selection activeCell="F19" sqref="F19"/>
    </sheetView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workbookViewId="0">
      <selection activeCell="H11" sqref="H11"/>
    </sheetView>
  </sheetViews>
  <sheetFormatPr baseColWidth="10" defaultColWidth="8.7265625" defaultRowHeight="14.5" x14ac:dyDescent="0.35"/>
  <cols>
    <col min="5" max="5" width="12.1796875" customWidth="1"/>
    <col min="6" max="6" width="8.72656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D2" s="1" t="str">
        <f t="shared" ref="D2:D33" si="0">IF(AND(B2&lt;&gt;"",C2&lt;&gt;""),C2-B2,"")</f>
        <v/>
      </c>
    </row>
    <row r="3" spans="1:5" x14ac:dyDescent="0.35">
      <c r="D3" t="str">
        <f t="shared" si="0"/>
        <v/>
      </c>
    </row>
    <row r="4" spans="1:5" x14ac:dyDescent="0.35">
      <c r="D4" t="str">
        <f t="shared" si="0"/>
        <v/>
      </c>
    </row>
    <row r="5" spans="1:5" x14ac:dyDescent="0.35">
      <c r="D5" t="str">
        <f t="shared" si="0"/>
        <v/>
      </c>
    </row>
    <row r="6" spans="1:5" x14ac:dyDescent="0.35">
      <c r="D6" t="str">
        <f t="shared" si="0"/>
        <v/>
      </c>
    </row>
    <row r="7" spans="1:5" x14ac:dyDescent="0.35">
      <c r="D7" t="str">
        <f t="shared" si="0"/>
        <v/>
      </c>
    </row>
    <row r="8" spans="1:5" x14ac:dyDescent="0.35">
      <c r="D8" t="str">
        <f t="shared" si="0"/>
        <v/>
      </c>
    </row>
    <row r="9" spans="1:5" x14ac:dyDescent="0.35">
      <c r="D9" t="str">
        <f t="shared" si="0"/>
        <v/>
      </c>
    </row>
    <row r="10" spans="1:5" x14ac:dyDescent="0.35">
      <c r="D10" t="str">
        <f t="shared" si="0"/>
        <v/>
      </c>
    </row>
    <row r="11" spans="1:5" x14ac:dyDescent="0.35">
      <c r="D11" t="str">
        <f t="shared" si="0"/>
        <v/>
      </c>
    </row>
    <row r="12" spans="1:5" x14ac:dyDescent="0.35">
      <c r="D12" t="str">
        <f t="shared" si="0"/>
        <v/>
      </c>
    </row>
    <row r="13" spans="1:5" x14ac:dyDescent="0.35">
      <c r="D13" t="str">
        <f t="shared" si="0"/>
        <v/>
      </c>
    </row>
    <row r="14" spans="1:5" x14ac:dyDescent="0.35">
      <c r="D14" t="str">
        <f t="shared" si="0"/>
        <v/>
      </c>
    </row>
    <row r="15" spans="1:5" x14ac:dyDescent="0.35">
      <c r="D15" t="str">
        <f t="shared" si="0"/>
        <v/>
      </c>
    </row>
    <row r="16" spans="1:5" x14ac:dyDescent="0.35">
      <c r="D16" t="str">
        <f t="shared" si="0"/>
        <v/>
      </c>
    </row>
    <row r="17" spans="4:4" x14ac:dyDescent="0.35">
      <c r="D17" t="str">
        <f t="shared" si="0"/>
        <v/>
      </c>
    </row>
    <row r="18" spans="4:4" x14ac:dyDescent="0.35">
      <c r="D18" t="str">
        <f t="shared" si="0"/>
        <v/>
      </c>
    </row>
    <row r="19" spans="4:4" x14ac:dyDescent="0.35">
      <c r="D19" t="str">
        <f t="shared" si="0"/>
        <v/>
      </c>
    </row>
    <row r="20" spans="4:4" x14ac:dyDescent="0.35">
      <c r="D20" t="str">
        <f t="shared" si="0"/>
        <v/>
      </c>
    </row>
    <row r="21" spans="4:4" x14ac:dyDescent="0.35">
      <c r="D21" t="str">
        <f t="shared" si="0"/>
        <v/>
      </c>
    </row>
    <row r="22" spans="4:4" x14ac:dyDescent="0.35">
      <c r="D22" t="str">
        <f t="shared" si="0"/>
        <v/>
      </c>
    </row>
    <row r="23" spans="4:4" x14ac:dyDescent="0.35">
      <c r="D23" t="str">
        <f t="shared" si="0"/>
        <v/>
      </c>
    </row>
    <row r="24" spans="4:4" x14ac:dyDescent="0.35">
      <c r="D24" t="str">
        <f t="shared" si="0"/>
        <v/>
      </c>
    </row>
    <row r="25" spans="4:4" x14ac:dyDescent="0.35">
      <c r="D25" t="str">
        <f t="shared" si="0"/>
        <v/>
      </c>
    </row>
    <row r="26" spans="4:4" x14ac:dyDescent="0.35">
      <c r="D26" t="str">
        <f t="shared" si="0"/>
        <v/>
      </c>
    </row>
    <row r="27" spans="4:4" x14ac:dyDescent="0.35">
      <c r="D27" t="str">
        <f t="shared" si="0"/>
        <v/>
      </c>
    </row>
    <row r="28" spans="4:4" x14ac:dyDescent="0.35">
      <c r="D28" t="str">
        <f t="shared" si="0"/>
        <v/>
      </c>
    </row>
    <row r="29" spans="4:4" x14ac:dyDescent="0.35">
      <c r="D29" t="str">
        <f t="shared" si="0"/>
        <v/>
      </c>
    </row>
    <row r="30" spans="4:4" x14ac:dyDescent="0.35">
      <c r="D30" t="str">
        <f t="shared" si="0"/>
        <v/>
      </c>
    </row>
    <row r="31" spans="4:4" x14ac:dyDescent="0.35">
      <c r="D31" t="str">
        <f t="shared" si="0"/>
        <v/>
      </c>
    </row>
    <row r="32" spans="4:4" x14ac:dyDescent="0.35">
      <c r="D32" t="str">
        <f t="shared" si="0"/>
        <v/>
      </c>
    </row>
    <row r="33" spans="4:4" x14ac:dyDescent="0.35">
      <c r="D33" t="str">
        <f t="shared" si="0"/>
        <v/>
      </c>
    </row>
    <row r="34" spans="4:4" x14ac:dyDescent="0.35">
      <c r="D34" t="str">
        <f t="shared" ref="D34:D65" si="1">IF(AND(B34&lt;&gt;"",C34&lt;&gt;""),C34-B34,"")</f>
        <v/>
      </c>
    </row>
    <row r="35" spans="4:4" x14ac:dyDescent="0.35">
      <c r="D35" t="str">
        <f t="shared" si="1"/>
        <v/>
      </c>
    </row>
    <row r="36" spans="4:4" x14ac:dyDescent="0.35">
      <c r="D36" t="str">
        <f t="shared" si="1"/>
        <v/>
      </c>
    </row>
    <row r="37" spans="4:4" x14ac:dyDescent="0.35">
      <c r="D37" t="str">
        <f t="shared" si="1"/>
        <v/>
      </c>
    </row>
    <row r="38" spans="4:4" x14ac:dyDescent="0.35">
      <c r="D38" t="str">
        <f t="shared" si="1"/>
        <v/>
      </c>
    </row>
    <row r="39" spans="4:4" x14ac:dyDescent="0.35">
      <c r="D39" t="str">
        <f t="shared" si="1"/>
        <v/>
      </c>
    </row>
    <row r="40" spans="4:4" x14ac:dyDescent="0.35">
      <c r="D40" t="str">
        <f t="shared" si="1"/>
        <v/>
      </c>
    </row>
    <row r="41" spans="4:4" x14ac:dyDescent="0.35">
      <c r="D41" t="str">
        <f t="shared" si="1"/>
        <v/>
      </c>
    </row>
    <row r="42" spans="4:4" x14ac:dyDescent="0.35">
      <c r="D42" t="str">
        <f t="shared" si="1"/>
        <v/>
      </c>
    </row>
    <row r="43" spans="4:4" x14ac:dyDescent="0.35">
      <c r="D43" t="str">
        <f t="shared" si="1"/>
        <v/>
      </c>
    </row>
    <row r="44" spans="4:4" x14ac:dyDescent="0.35">
      <c r="D44" t="str">
        <f t="shared" si="1"/>
        <v/>
      </c>
    </row>
    <row r="45" spans="4:4" x14ac:dyDescent="0.35">
      <c r="D45" t="str">
        <f t="shared" si="1"/>
        <v/>
      </c>
    </row>
    <row r="46" spans="4:4" x14ac:dyDescent="0.35">
      <c r="D46" t="str">
        <f t="shared" si="1"/>
        <v/>
      </c>
    </row>
    <row r="47" spans="4:4" x14ac:dyDescent="0.35">
      <c r="D47" t="str">
        <f t="shared" si="1"/>
        <v/>
      </c>
    </row>
    <row r="48" spans="4:4" x14ac:dyDescent="0.35">
      <c r="D48" t="str">
        <f t="shared" si="1"/>
        <v/>
      </c>
    </row>
    <row r="49" spans="4:4" x14ac:dyDescent="0.35">
      <c r="D49" t="str">
        <f t="shared" si="1"/>
        <v/>
      </c>
    </row>
    <row r="50" spans="4:4" x14ac:dyDescent="0.35">
      <c r="D50" t="str">
        <f t="shared" si="1"/>
        <v/>
      </c>
    </row>
    <row r="51" spans="4:4" x14ac:dyDescent="0.35">
      <c r="D51" t="str">
        <f t="shared" si="1"/>
        <v/>
      </c>
    </row>
    <row r="52" spans="4:4" x14ac:dyDescent="0.35">
      <c r="D52" t="str">
        <f t="shared" si="1"/>
        <v/>
      </c>
    </row>
    <row r="53" spans="4:4" x14ac:dyDescent="0.35">
      <c r="D53" t="str">
        <f t="shared" si="1"/>
        <v/>
      </c>
    </row>
    <row r="54" spans="4:4" x14ac:dyDescent="0.35">
      <c r="D54" t="str">
        <f t="shared" si="1"/>
        <v/>
      </c>
    </row>
    <row r="55" spans="4:4" x14ac:dyDescent="0.35">
      <c r="D55" t="str">
        <f t="shared" si="1"/>
        <v/>
      </c>
    </row>
    <row r="56" spans="4:4" x14ac:dyDescent="0.35">
      <c r="D56" t="str">
        <f t="shared" si="1"/>
        <v/>
      </c>
    </row>
    <row r="57" spans="4:4" x14ac:dyDescent="0.35">
      <c r="D57" t="str">
        <f t="shared" si="1"/>
        <v/>
      </c>
    </row>
    <row r="58" spans="4:4" x14ac:dyDescent="0.35">
      <c r="D58" t="str">
        <f t="shared" si="1"/>
        <v/>
      </c>
    </row>
    <row r="59" spans="4:4" x14ac:dyDescent="0.35">
      <c r="D59" t="str">
        <f t="shared" si="1"/>
        <v/>
      </c>
    </row>
    <row r="60" spans="4:4" x14ac:dyDescent="0.35">
      <c r="D60" t="str">
        <f t="shared" si="1"/>
        <v/>
      </c>
    </row>
    <row r="61" spans="4:4" x14ac:dyDescent="0.35">
      <c r="D61" t="str">
        <f t="shared" si="1"/>
        <v/>
      </c>
    </row>
    <row r="62" spans="4:4" x14ac:dyDescent="0.35">
      <c r="D62" t="str">
        <f t="shared" si="1"/>
        <v/>
      </c>
    </row>
    <row r="63" spans="4:4" x14ac:dyDescent="0.35">
      <c r="D63" t="str">
        <f t="shared" si="1"/>
        <v/>
      </c>
    </row>
    <row r="64" spans="4:4" x14ac:dyDescent="0.35">
      <c r="D64" t="str">
        <f t="shared" si="1"/>
        <v/>
      </c>
    </row>
    <row r="65" spans="4:4" x14ac:dyDescent="0.35">
      <c r="D65" t="str">
        <f t="shared" si="1"/>
        <v/>
      </c>
    </row>
    <row r="66" spans="4:4" x14ac:dyDescent="0.35">
      <c r="D66" t="str">
        <f t="shared" ref="D66:D97" si="2">IF(AND(B66&lt;&gt;"",C66&lt;&gt;""),C66-B66,"")</f>
        <v/>
      </c>
    </row>
    <row r="67" spans="4:4" x14ac:dyDescent="0.35">
      <c r="D67" t="str">
        <f t="shared" si="2"/>
        <v/>
      </c>
    </row>
    <row r="68" spans="4:4" x14ac:dyDescent="0.35">
      <c r="D68" t="str">
        <f t="shared" si="2"/>
        <v/>
      </c>
    </row>
    <row r="69" spans="4:4" x14ac:dyDescent="0.35">
      <c r="D69" t="str">
        <f t="shared" si="2"/>
        <v/>
      </c>
    </row>
    <row r="70" spans="4:4" x14ac:dyDescent="0.35">
      <c r="D70" t="str">
        <f t="shared" si="2"/>
        <v/>
      </c>
    </row>
    <row r="71" spans="4:4" x14ac:dyDescent="0.35">
      <c r="D71" t="str">
        <f t="shared" si="2"/>
        <v/>
      </c>
    </row>
    <row r="72" spans="4:4" x14ac:dyDescent="0.35">
      <c r="D72" t="str">
        <f t="shared" si="2"/>
        <v/>
      </c>
    </row>
    <row r="73" spans="4:4" x14ac:dyDescent="0.35">
      <c r="D73" t="str">
        <f t="shared" si="2"/>
        <v/>
      </c>
    </row>
    <row r="74" spans="4:4" x14ac:dyDescent="0.35">
      <c r="D74" t="str">
        <f t="shared" si="2"/>
        <v/>
      </c>
    </row>
    <row r="75" spans="4:4" x14ac:dyDescent="0.35">
      <c r="D75" t="str">
        <f t="shared" si="2"/>
        <v/>
      </c>
    </row>
    <row r="76" spans="4:4" x14ac:dyDescent="0.35">
      <c r="D76" t="str">
        <f t="shared" si="2"/>
        <v/>
      </c>
    </row>
    <row r="77" spans="4:4" x14ac:dyDescent="0.35">
      <c r="D77" t="str">
        <f t="shared" si="2"/>
        <v/>
      </c>
    </row>
    <row r="78" spans="4:4" x14ac:dyDescent="0.35">
      <c r="D78" t="str">
        <f t="shared" si="2"/>
        <v/>
      </c>
    </row>
    <row r="79" spans="4:4" x14ac:dyDescent="0.35">
      <c r="D79" t="str">
        <f t="shared" si="2"/>
        <v/>
      </c>
    </row>
    <row r="80" spans="4:4" x14ac:dyDescent="0.35">
      <c r="D80" t="str">
        <f t="shared" si="2"/>
        <v/>
      </c>
    </row>
    <row r="81" spans="4:4" x14ac:dyDescent="0.35">
      <c r="D81" t="str">
        <f t="shared" si="2"/>
        <v/>
      </c>
    </row>
    <row r="82" spans="4:4" x14ac:dyDescent="0.35">
      <c r="D82" t="str">
        <f t="shared" si="2"/>
        <v/>
      </c>
    </row>
    <row r="83" spans="4:4" x14ac:dyDescent="0.35">
      <c r="D83" t="str">
        <f t="shared" si="2"/>
        <v/>
      </c>
    </row>
    <row r="84" spans="4:4" x14ac:dyDescent="0.35">
      <c r="D84" t="str">
        <f t="shared" si="2"/>
        <v/>
      </c>
    </row>
    <row r="85" spans="4:4" x14ac:dyDescent="0.35">
      <c r="D85" t="str">
        <f t="shared" si="2"/>
        <v/>
      </c>
    </row>
    <row r="86" spans="4:4" x14ac:dyDescent="0.35">
      <c r="D86" t="str">
        <f t="shared" si="2"/>
        <v/>
      </c>
    </row>
    <row r="87" spans="4:4" x14ac:dyDescent="0.35">
      <c r="D87" t="str">
        <f t="shared" si="2"/>
        <v/>
      </c>
    </row>
    <row r="88" spans="4:4" x14ac:dyDescent="0.35">
      <c r="D88" t="str">
        <f t="shared" si="2"/>
        <v/>
      </c>
    </row>
    <row r="89" spans="4:4" x14ac:dyDescent="0.35">
      <c r="D89" t="str">
        <f t="shared" si="2"/>
        <v/>
      </c>
    </row>
    <row r="90" spans="4:4" x14ac:dyDescent="0.35">
      <c r="D90" t="str">
        <f t="shared" si="2"/>
        <v/>
      </c>
    </row>
    <row r="91" spans="4:4" x14ac:dyDescent="0.35">
      <c r="D91" t="str">
        <f t="shared" si="2"/>
        <v/>
      </c>
    </row>
    <row r="92" spans="4:4" x14ac:dyDescent="0.35">
      <c r="D92" t="str">
        <f t="shared" si="2"/>
        <v/>
      </c>
    </row>
    <row r="93" spans="4:4" x14ac:dyDescent="0.35">
      <c r="D93" t="str">
        <f t="shared" si="2"/>
        <v/>
      </c>
    </row>
    <row r="94" spans="4:4" x14ac:dyDescent="0.35">
      <c r="D94" t="str">
        <f t="shared" si="2"/>
        <v/>
      </c>
    </row>
    <row r="95" spans="4:4" x14ac:dyDescent="0.35">
      <c r="D95" t="str">
        <f t="shared" si="2"/>
        <v/>
      </c>
    </row>
    <row r="96" spans="4:4" x14ac:dyDescent="0.35">
      <c r="D96" t="str">
        <f t="shared" si="2"/>
        <v/>
      </c>
    </row>
    <row r="97" spans="4:4" x14ac:dyDescent="0.35">
      <c r="D97" t="str">
        <f t="shared" si="2"/>
        <v/>
      </c>
    </row>
    <row r="98" spans="4:4" x14ac:dyDescent="0.35">
      <c r="D98" t="str">
        <f t="shared" ref="D98:D100" si="3">IF(AND(B98&lt;&gt;"",C98&lt;&gt;""),C98-B98,"")</f>
        <v/>
      </c>
    </row>
    <row r="99" spans="4:4" x14ac:dyDescent="0.35">
      <c r="D99" t="str">
        <f t="shared" si="3"/>
        <v/>
      </c>
    </row>
    <row r="100" spans="4:4" x14ac:dyDescent="0.35">
      <c r="D100" t="str">
        <f t="shared" si="3"/>
        <v/>
      </c>
    </row>
  </sheetData>
  <pageMargins left="0.75" right="0.75" top="1" bottom="1" header="0.5" footer="0.5"/>
  <pageSetup paperSize="9" orientation="portrait" r:id="rId1"/>
  <headerFooter>
    <oddFooter>&amp;R_x000D_&amp;1#&amp;"Arial"&amp;10&amp;K000000 Confidential C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selection activeCell="K15" sqref="K15"/>
    </sheetView>
  </sheetViews>
  <sheetFormatPr baseColWidth="10" defaultColWidth="8.7265625" defaultRowHeight="14.5" x14ac:dyDescent="0.35"/>
  <sheetData>
    <row r="1" spans="1:6" x14ac:dyDescent="0.35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</row>
    <row r="2" spans="1:6" x14ac:dyDescent="0.35">
      <c r="B2" t="e">
        <f>SUMIF([1]Data!$E:$E,"VA",[1]Data!$D:$D)/86400000</f>
        <v>#VALUE!</v>
      </c>
      <c r="C2" t="e">
        <f>SUMIF([1]Data!$E:$E,"NVA",[1]Data!$D:$D)/86400000</f>
        <v>#VALUE!</v>
      </c>
      <c r="D2" t="e">
        <f>SUM([1]Data!$D:$D)/86400000 - B2 - B3</f>
        <v>#VALUE!</v>
      </c>
      <c r="E2" t="e">
        <f>B2/SUM($B$2:$B$4)</f>
        <v>#VALUE!</v>
      </c>
    </row>
  </sheetData>
  <pageMargins left="0.75" right="0.75" top="1" bottom="1" header="0.5" footer="0.5"/>
  <headerFooter>
    <oddFooter>&amp;R_x000D_&amp;1#&amp;"Arial"&amp;10&amp;K000000 Confidential C</oddFooter>
  </headerFooter>
  <drawing r:id="rId1"/>
</worksheet>
</file>

<file path=docMetadata/LabelInfo.xml><?xml version="1.0" encoding="utf-8"?>
<clbl:labelList xmlns:clbl="http://schemas.microsoft.com/office/2020/mipLabelMetadata">
  <clbl:label id="{fd1c0902-ed92-4fed-896d-2e7725de02d4}" enabled="1" method="Standard" siteId="{d6b0bbee-7cd9-4d60-bce6-4a67b543e2a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5</vt:i4>
      </vt:variant>
    </vt:vector>
  </HeadingPairs>
  <TitlesOfParts>
    <vt:vector size="11" baseType="lpstr">
      <vt:lpstr>Raw</vt:lpstr>
      <vt:lpstr>Stats</vt:lpstr>
      <vt:lpstr>Résumé</vt:lpstr>
      <vt:lpstr>Chronologie_Extended</vt:lpstr>
      <vt:lpstr>Data</vt:lpstr>
      <vt:lpstr>Dashboard</vt:lpstr>
      <vt:lpstr>ACTIVITY_BREAKDOWN</vt:lpstr>
      <vt:lpstr>BAR_AVG</vt:lpstr>
      <vt:lpstr>GAUSS_POINTS</vt:lpstr>
      <vt:lpstr>TIMELINE</vt:lpstr>
      <vt:lpstr>VA_NVA_DATA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GAUDUCHEAU Lola</cp:lastModifiedBy>
  <dcterms:created xsi:type="dcterms:W3CDTF">2025-11-03T10:32:20Z</dcterms:created>
  <dcterms:modified xsi:type="dcterms:W3CDTF">2025-11-06T07:44:37Z</dcterms:modified>
</cp:coreProperties>
</file>